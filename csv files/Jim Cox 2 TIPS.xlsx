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Mike/Documents/"/>
    </mc:Choice>
  </mc:AlternateContent>
  <xr:revisionPtr revIDLastSave="0" documentId="8_{BA39775D-242E-1C4F-A118-FAB75403CC8E}" xr6:coauthVersionLast="47" xr6:coauthVersionMax="47" xr10:uidLastSave="{00000000-0000-0000-0000-000000000000}"/>
  <bookViews>
    <workbookView xWindow="2280" yWindow="620" windowWidth="33100" windowHeight="20700" activeTab="1" xr2:uid="{0CC55459-1AC5-F044-B45C-2DE26956EF35}"/>
  </bookViews>
  <sheets>
    <sheet name="User Input" sheetId="2" r:id="rId1"/>
    <sheet name="Ladder" sheetId="1" r:id="rId2"/>
    <sheet name="Fidelity_FixedIncome_SearchResu"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1" l="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B5" i="1"/>
  <c r="B6" i="1"/>
  <c r="B7" i="1"/>
  <c r="B8" i="1"/>
  <c r="B9" i="1"/>
  <c r="B10" i="1"/>
  <c r="B11" i="1"/>
  <c r="B12" i="1"/>
  <c r="B13" i="1"/>
  <c r="B14" i="1"/>
  <c r="B15" i="1"/>
  <c r="B16" i="1"/>
  <c r="B17" i="1"/>
  <c r="B18" i="1"/>
  <c r="B19" i="1"/>
  <c r="B20" i="1"/>
  <c r="B21" i="1"/>
  <c r="B22" i="1"/>
  <c r="B23" i="1"/>
  <c r="I23" i="1" s="1" a="1"/>
  <c r="I23" i="1" s="1"/>
  <c r="J23" i="1" s="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K4" i="1"/>
  <c r="C4" i="1"/>
  <c r="B4" i="1"/>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L67" i="1"/>
  <c r="N67" i="1" s="1"/>
  <c r="L68" i="1"/>
  <c r="N68" i="1" s="1"/>
  <c r="J67" i="1"/>
  <c r="J68" i="1"/>
  <c r="J69" i="1"/>
  <c r="J70" i="1"/>
  <c r="J71" i="1"/>
  <c r="J72" i="1"/>
  <c r="J73" i="1"/>
  <c r="J74" i="1"/>
  <c r="J75" i="1"/>
  <c r="J76" i="1"/>
  <c r="J77" i="1"/>
  <c r="J78" i="1"/>
  <c r="J79" i="1"/>
  <c r="J80" i="1"/>
  <c r="J81" i="1"/>
  <c r="J82" i="1"/>
  <c r="J83" i="1"/>
  <c r="J84" i="1"/>
  <c r="J85" i="1"/>
  <c r="J86" i="1"/>
  <c r="J87" i="1"/>
  <c r="J88" i="1"/>
  <c r="P3" i="1"/>
  <c r="R3" i="1" s="1"/>
  <c r="I35" i="1" l="1" a="1"/>
  <c r="I35" i="1" s="1"/>
  <c r="J35" i="1" s="1"/>
  <c r="I4" i="1" a="1"/>
  <c r="I4" i="1" s="1"/>
  <c r="J4" i="1" s="1"/>
  <c r="I56" i="1" a="1"/>
  <c r="I56" i="1" s="1"/>
  <c r="J56" i="1" s="1"/>
  <c r="I48" i="1" a="1"/>
  <c r="I48" i="1" s="1"/>
  <c r="J48" i="1" s="1"/>
  <c r="I32" i="1" a="1"/>
  <c r="I32" i="1" s="1"/>
  <c r="J32" i="1" s="1"/>
  <c r="I16" i="1" a="1"/>
  <c r="I16" i="1" s="1"/>
  <c r="J16" i="1" s="1"/>
  <c r="I63" i="1" a="1"/>
  <c r="I63" i="1" s="1"/>
  <c r="J63" i="1" s="1"/>
  <c r="I47" i="1" a="1"/>
  <c r="I47" i="1" s="1"/>
  <c r="J47" i="1" s="1"/>
  <c r="I31" i="1" a="1"/>
  <c r="I31" i="1" s="1"/>
  <c r="J31" i="1" s="1"/>
  <c r="I7" i="1" a="1"/>
  <c r="I7" i="1" s="1"/>
  <c r="J7" i="1" s="1"/>
  <c r="I64" i="1" a="1"/>
  <c r="I64" i="1" s="1"/>
  <c r="J64" i="1" s="1"/>
  <c r="I40" i="1" a="1"/>
  <c r="I40" i="1" s="1"/>
  <c r="J40" i="1" s="1"/>
  <c r="I24" i="1" a="1"/>
  <c r="I24" i="1" s="1"/>
  <c r="J24" i="1" s="1"/>
  <c r="I8" i="1" a="1"/>
  <c r="I8" i="1" s="1"/>
  <c r="J8" i="1" s="1"/>
  <c r="I55" i="1" a="1"/>
  <c r="I55" i="1" s="1"/>
  <c r="J55" i="1" s="1"/>
  <c r="I39" i="1" a="1"/>
  <c r="I39" i="1" s="1"/>
  <c r="J39" i="1" s="1"/>
  <c r="I15" i="1" a="1"/>
  <c r="I15" i="1" s="1"/>
  <c r="J15" i="1" s="1"/>
  <c r="I53" i="1" a="1"/>
  <c r="I53" i="1" s="1"/>
  <c r="J53" i="1" s="1"/>
  <c r="I60" i="1" a="1"/>
  <c r="I60" i="1" s="1"/>
  <c r="J60" i="1" s="1"/>
  <c r="I44" i="1" a="1"/>
  <c r="I44" i="1" s="1"/>
  <c r="J44" i="1" s="1"/>
  <c r="I28" i="1" a="1"/>
  <c r="I28" i="1" s="1"/>
  <c r="J28" i="1" s="1"/>
  <c r="I20" i="1" a="1"/>
  <c r="I20" i="1" s="1"/>
  <c r="J20" i="1" s="1"/>
  <c r="I12" i="1" a="1"/>
  <c r="I12" i="1" s="1"/>
  <c r="J12" i="1" s="1"/>
  <c r="I51" i="1" a="1"/>
  <c r="I51" i="1" s="1"/>
  <c r="J51" i="1" s="1"/>
  <c r="I27" i="1" a="1"/>
  <c r="I27" i="1" s="1"/>
  <c r="J27" i="1" s="1"/>
  <c r="I19" i="1" a="1"/>
  <c r="I19" i="1" s="1"/>
  <c r="J19" i="1" s="1"/>
  <c r="I11" i="1" a="1"/>
  <c r="I11" i="1" s="1"/>
  <c r="J11" i="1" s="1"/>
  <c r="I52" i="1" a="1"/>
  <c r="I52" i="1" s="1"/>
  <c r="J52" i="1" s="1"/>
  <c r="I43" i="1" a="1"/>
  <c r="I43" i="1" s="1"/>
  <c r="J43" i="1" s="1"/>
  <c r="I61" i="1" a="1"/>
  <c r="I61" i="1" s="1"/>
  <c r="J61" i="1" s="1"/>
  <c r="I45" i="1" a="1"/>
  <c r="I45" i="1" s="1"/>
  <c r="J45" i="1" s="1"/>
  <c r="I37" i="1" a="1"/>
  <c r="I37" i="1" s="1"/>
  <c r="J37" i="1" s="1"/>
  <c r="I29" i="1" a="1"/>
  <c r="I29" i="1" s="1"/>
  <c r="J29" i="1" s="1"/>
  <c r="I21" i="1" a="1"/>
  <c r="I21" i="1" s="1"/>
  <c r="J21" i="1" s="1"/>
  <c r="I36" i="1" a="1"/>
  <c r="I36" i="1" s="1"/>
  <c r="J36" i="1" s="1"/>
  <c r="I59" i="1" a="1"/>
  <c r="I59" i="1" s="1"/>
  <c r="J59" i="1" s="1"/>
  <c r="I65" i="1" a="1"/>
  <c r="I65" i="1" s="1"/>
  <c r="J65" i="1" s="1"/>
  <c r="I57" i="1" a="1"/>
  <c r="I57" i="1" s="1"/>
  <c r="J57" i="1" s="1"/>
  <c r="I49" i="1" a="1"/>
  <c r="I49" i="1" s="1"/>
  <c r="J49" i="1" s="1"/>
  <c r="I41" i="1" a="1"/>
  <c r="I41" i="1" s="1"/>
  <c r="J41" i="1" s="1"/>
  <c r="I33" i="1" a="1"/>
  <c r="I33" i="1" s="1"/>
  <c r="J33" i="1" s="1"/>
  <c r="I25" i="1" a="1"/>
  <c r="I25" i="1" s="1"/>
  <c r="J25" i="1" s="1"/>
  <c r="I17" i="1" a="1"/>
  <c r="I17" i="1" s="1"/>
  <c r="J17" i="1" s="1"/>
  <c r="I9" i="1" a="1"/>
  <c r="I9" i="1" s="1"/>
  <c r="J9" i="1" s="1"/>
  <c r="I62" i="1" a="1"/>
  <c r="I62" i="1" s="1"/>
  <c r="J62" i="1" s="1"/>
  <c r="I54" i="1" a="1"/>
  <c r="I54" i="1" s="1"/>
  <c r="J54" i="1" s="1"/>
  <c r="I46" i="1" a="1"/>
  <c r="I46" i="1" s="1"/>
  <c r="J46" i="1" s="1"/>
  <c r="I38" i="1" a="1"/>
  <c r="I38" i="1" s="1"/>
  <c r="J38" i="1" s="1"/>
  <c r="I30" i="1" a="1"/>
  <c r="I30" i="1" s="1"/>
  <c r="J30" i="1" s="1"/>
  <c r="I22" i="1" a="1"/>
  <c r="I22" i="1" s="1"/>
  <c r="J22" i="1" s="1"/>
  <c r="I14" i="1" a="1"/>
  <c r="I14" i="1" s="1"/>
  <c r="J14" i="1" s="1"/>
  <c r="I6" i="1" a="1"/>
  <c r="I6" i="1" s="1"/>
  <c r="J6" i="1" s="1"/>
  <c r="A13" i="1"/>
  <c r="P13" i="1" s="1"/>
  <c r="Q13" i="1" s="1"/>
  <c r="A6" i="1"/>
  <c r="P6" i="1" s="1"/>
  <c r="R6" i="1" s="1" a="1"/>
  <c r="R6" i="1" s="1"/>
  <c r="I13" i="1" a="1"/>
  <c r="I13" i="1" s="1"/>
  <c r="J13" i="1" s="1"/>
  <c r="I5" i="1" a="1"/>
  <c r="I5" i="1" s="1"/>
  <c r="J5" i="1" s="1"/>
  <c r="F66" i="1" a="1"/>
  <c r="F66" i="1" s="1"/>
  <c r="F58" i="1" a="1"/>
  <c r="F58" i="1" s="1"/>
  <c r="F50" i="1" a="1"/>
  <c r="F50" i="1" s="1"/>
  <c r="F42" i="1" a="1"/>
  <c r="F42" i="1" s="1"/>
  <c r="F34" i="1" a="1"/>
  <c r="F34" i="1" s="1"/>
  <c r="F26" i="1" a="1"/>
  <c r="F26" i="1" s="1"/>
  <c r="D18" i="1" a="1"/>
  <c r="D18" i="1" s="1"/>
  <c r="E18" i="1" s="1"/>
  <c r="F10" i="1" a="1"/>
  <c r="F10" i="1" s="1"/>
  <c r="I66" i="1" a="1"/>
  <c r="I66" i="1" s="1"/>
  <c r="J66" i="1" s="1"/>
  <c r="I58" i="1" a="1"/>
  <c r="I58" i="1" s="1"/>
  <c r="J58" i="1" s="1"/>
  <c r="I50" i="1" a="1"/>
  <c r="I50" i="1" s="1"/>
  <c r="J50" i="1" s="1"/>
  <c r="I42" i="1" a="1"/>
  <c r="I42" i="1" s="1"/>
  <c r="J42" i="1" s="1"/>
  <c r="I34" i="1" a="1"/>
  <c r="I34" i="1" s="1"/>
  <c r="J34" i="1" s="1"/>
  <c r="I26" i="1" a="1"/>
  <c r="I26" i="1" s="1"/>
  <c r="J26" i="1" s="1"/>
  <c r="I18" i="1" a="1"/>
  <c r="I18" i="1" s="1"/>
  <c r="J18" i="1" s="1"/>
  <c r="I10" i="1" a="1"/>
  <c r="I10" i="1" s="1"/>
  <c r="J10" i="1" s="1"/>
  <c r="A63" i="1"/>
  <c r="P63" i="1" s="1"/>
  <c r="R63" i="1" s="1" a="1"/>
  <c r="R63" i="1" s="1"/>
  <c r="S63" i="1" s="1"/>
  <c r="A55" i="1"/>
  <c r="P55" i="1" s="1"/>
  <c r="R55" i="1" s="1" a="1"/>
  <c r="R55" i="1" s="1"/>
  <c r="A47" i="1"/>
  <c r="P47" i="1" s="1"/>
  <c r="R47" i="1" s="1" a="1"/>
  <c r="R47" i="1" s="1"/>
  <c r="A39" i="1"/>
  <c r="P39" i="1" s="1"/>
  <c r="R39" i="1" s="1" a="1"/>
  <c r="R39" i="1" s="1"/>
  <c r="A31" i="1"/>
  <c r="P31" i="1" s="1"/>
  <c r="R31" i="1" s="1" a="1"/>
  <c r="R31" i="1" s="1"/>
  <c r="A23" i="1"/>
  <c r="P23" i="1" s="1"/>
  <c r="A15" i="1"/>
  <c r="P15" i="1" s="1"/>
  <c r="R15" i="1" s="1" a="1"/>
  <c r="R15" i="1" s="1"/>
  <c r="A7" i="1"/>
  <c r="P7" i="1" s="1"/>
  <c r="R7" i="1" s="1" a="1"/>
  <c r="R7" i="1" s="1"/>
  <c r="S7" i="1" s="1"/>
  <c r="F25" i="1" a="1"/>
  <c r="F25" i="1" s="1"/>
  <c r="F9" i="1" a="1"/>
  <c r="F9" i="1" s="1"/>
  <c r="A40" i="1"/>
  <c r="P40" i="1" s="1"/>
  <c r="R40" i="1" s="1" a="1"/>
  <c r="R40" i="1" s="1"/>
  <c r="A32" i="1"/>
  <c r="P32" i="1" s="1"/>
  <c r="R32" i="1" s="1" a="1"/>
  <c r="R32" i="1" s="1"/>
  <c r="A24" i="1"/>
  <c r="P24" i="1" s="1"/>
  <c r="R24" i="1" s="1" a="1"/>
  <c r="R24" i="1" s="1"/>
  <c r="A16" i="1"/>
  <c r="P16" i="1" s="1"/>
  <c r="A8" i="1"/>
  <c r="P8" i="1" s="1"/>
  <c r="R8" i="1" s="1" a="1"/>
  <c r="R8" i="1" s="1"/>
  <c r="S8" i="1" s="1"/>
  <c r="F54" i="1" a="1"/>
  <c r="F54" i="1" s="1"/>
  <c r="F46" i="1" a="1"/>
  <c r="F46" i="1" s="1"/>
  <c r="F22" i="1" a="1"/>
  <c r="F22" i="1" s="1"/>
  <c r="F14" i="1" a="1"/>
  <c r="F14" i="1" s="1"/>
  <c r="F6" i="1" a="1"/>
  <c r="F6" i="1" s="1"/>
  <c r="F61" i="1" a="1"/>
  <c r="F61" i="1" s="1"/>
  <c r="F53" i="1" a="1"/>
  <c r="F53" i="1" s="1"/>
  <c r="F45" i="1" a="1"/>
  <c r="F45" i="1" s="1"/>
  <c r="F37" i="1" a="1"/>
  <c r="F37" i="1" s="1"/>
  <c r="F29" i="1" a="1"/>
  <c r="F29" i="1" s="1"/>
  <c r="F21" i="1" a="1"/>
  <c r="F21" i="1" s="1"/>
  <c r="F13" i="1" a="1"/>
  <c r="F13" i="1" s="1"/>
  <c r="D60" i="1" a="1"/>
  <c r="D60" i="1" s="1"/>
  <c r="E60" i="1" s="1"/>
  <c r="D52" i="1" a="1"/>
  <c r="D52" i="1" s="1"/>
  <c r="E52" i="1" s="1"/>
  <c r="F44" i="1" a="1"/>
  <c r="F44" i="1" s="1"/>
  <c r="D36" i="1" a="1"/>
  <c r="D36" i="1" s="1"/>
  <c r="E36" i="1" s="1"/>
  <c r="F28" i="1" a="1"/>
  <c r="F28" i="1" s="1"/>
  <c r="F20" i="1" a="1"/>
  <c r="F20" i="1" s="1"/>
  <c r="F12" i="1" a="1"/>
  <c r="F12" i="1" s="1"/>
  <c r="A18" i="1"/>
  <c r="P18" i="1" s="1"/>
  <c r="R18" i="1" s="1" a="1"/>
  <c r="R18" i="1" s="1"/>
  <c r="A36" i="1"/>
  <c r="P36" i="1" s="1"/>
  <c r="R36" i="1" s="1" a="1"/>
  <c r="R36" i="1" s="1"/>
  <c r="A19" i="1"/>
  <c r="P19" i="1" s="1"/>
  <c r="R19" i="1" s="1" a="1"/>
  <c r="R19" i="1" s="1"/>
  <c r="S19" i="1" s="1"/>
  <c r="F62" i="1" a="1"/>
  <c r="F62" i="1" s="1"/>
  <c r="F38" i="1" a="1"/>
  <c r="F38" i="1" s="1"/>
  <c r="F30" i="1" a="1"/>
  <c r="F30" i="1" s="1"/>
  <c r="F18" i="1" a="1"/>
  <c r="F18" i="1" s="1"/>
  <c r="F4" i="1" a="1"/>
  <c r="F4" i="1" s="1"/>
  <c r="A30" i="1"/>
  <c r="P30" i="1" s="1"/>
  <c r="R30" i="1" s="1" a="1"/>
  <c r="R30" i="1" s="1"/>
  <c r="A64" i="1"/>
  <c r="P64" i="1" s="1"/>
  <c r="Q64" i="1" s="1"/>
  <c r="A56" i="1"/>
  <c r="P56" i="1" s="1"/>
  <c r="R56" i="1" s="1" a="1"/>
  <c r="R56" i="1" s="1"/>
  <c r="A48" i="1"/>
  <c r="P48" i="1" s="1"/>
  <c r="R48" i="1" s="1" a="1"/>
  <c r="R48" i="1" s="1"/>
  <c r="A14" i="1"/>
  <c r="P14" i="1" s="1"/>
  <c r="R14" i="1" s="1" a="1"/>
  <c r="R14" i="1" s="1"/>
  <c r="A46" i="1"/>
  <c r="P46" i="1" s="1"/>
  <c r="R46" i="1" s="1" a="1"/>
  <c r="R46" i="1" s="1"/>
  <c r="D4" i="1" a="1"/>
  <c r="D4" i="1" s="1"/>
  <c r="E4" i="1" s="1"/>
  <c r="D59" i="1" a="1"/>
  <c r="D59" i="1" s="1"/>
  <c r="E59" i="1" s="1"/>
  <c r="D51" i="1" a="1"/>
  <c r="D51" i="1" s="1"/>
  <c r="E51" i="1" s="1"/>
  <c r="D43" i="1" a="1"/>
  <c r="D43" i="1" s="1"/>
  <c r="E43" i="1" s="1"/>
  <c r="D35" i="1" a="1"/>
  <c r="D35" i="1" s="1"/>
  <c r="E35" i="1" s="1"/>
  <c r="D27" i="1" a="1"/>
  <c r="D27" i="1" s="1"/>
  <c r="E27" i="1" s="1"/>
  <c r="D19" i="1" a="1"/>
  <c r="D19" i="1" s="1"/>
  <c r="E19" i="1" s="1"/>
  <c r="F65" i="1" a="1"/>
  <c r="F65" i="1" s="1"/>
  <c r="F57" i="1" a="1"/>
  <c r="F57" i="1" s="1"/>
  <c r="F49" i="1" a="1"/>
  <c r="F49" i="1" s="1"/>
  <c r="F41" i="1" a="1"/>
  <c r="F41" i="1" s="1"/>
  <c r="F33" i="1" a="1"/>
  <c r="F33" i="1" s="1"/>
  <c r="A62" i="1"/>
  <c r="P62" i="1" s="1"/>
  <c r="R62" i="1" s="1" a="1"/>
  <c r="R62" i="1" s="1"/>
  <c r="S62" i="1" s="1"/>
  <c r="A38" i="1"/>
  <c r="P38" i="1" s="1"/>
  <c r="R38" i="1" s="1" a="1"/>
  <c r="R38" i="1" s="1"/>
  <c r="A12" i="1"/>
  <c r="P12" i="1" s="1"/>
  <c r="R12" i="1" s="1" a="1"/>
  <c r="R12" i="1" s="1"/>
  <c r="F17" i="1" a="1"/>
  <c r="F17" i="1" s="1"/>
  <c r="A51" i="1"/>
  <c r="P51" i="1" s="1"/>
  <c r="R51" i="1" s="1" a="1"/>
  <c r="R51" i="1" s="1"/>
  <c r="A35" i="1"/>
  <c r="P35" i="1" s="1"/>
  <c r="R35" i="1" s="1" a="1"/>
  <c r="R35" i="1" s="1"/>
  <c r="F56" i="1" a="1"/>
  <c r="F56" i="1" s="1"/>
  <c r="F40" i="1" a="1"/>
  <c r="F40" i="1" s="1"/>
  <c r="F32" i="1" a="1"/>
  <c r="F32" i="1" s="1"/>
  <c r="F24" i="1" a="1"/>
  <c r="F24" i="1" s="1"/>
  <c r="F16" i="1" a="1"/>
  <c r="F16" i="1" s="1"/>
  <c r="F8" i="1" a="1"/>
  <c r="F8" i="1" s="1"/>
  <c r="A61" i="1"/>
  <c r="P61" i="1" s="1"/>
  <c r="Q61" i="1" s="1"/>
  <c r="A28" i="1"/>
  <c r="P28" i="1" s="1"/>
  <c r="R28" i="1" s="1" a="1"/>
  <c r="R28" i="1" s="1"/>
  <c r="A11" i="1"/>
  <c r="P11" i="1" s="1"/>
  <c r="R11" i="1" s="1" a="1"/>
  <c r="R11" i="1" s="1"/>
  <c r="S11" i="1" s="1"/>
  <c r="F64" i="1" a="1"/>
  <c r="F64" i="1" s="1"/>
  <c r="F48" i="1" a="1"/>
  <c r="F48" i="1" s="1"/>
  <c r="A60" i="1"/>
  <c r="P60" i="1" s="1"/>
  <c r="Q60" i="1" s="1"/>
  <c r="A22" i="1"/>
  <c r="P22" i="1" s="1"/>
  <c r="R22" i="1" s="1" a="1"/>
  <c r="R22" i="1" s="1"/>
  <c r="A10" i="1"/>
  <c r="P10" i="1" s="1"/>
  <c r="R10" i="1" s="1" a="1"/>
  <c r="R10" i="1" s="1"/>
  <c r="F63" i="1" a="1"/>
  <c r="F63" i="1" s="1"/>
  <c r="F55" i="1" a="1"/>
  <c r="F55" i="1" s="1"/>
  <c r="F47" i="1" a="1"/>
  <c r="F47" i="1" s="1"/>
  <c r="F39" i="1" a="1"/>
  <c r="F39" i="1" s="1"/>
  <c r="F31" i="1" a="1"/>
  <c r="F31" i="1" s="1"/>
  <c r="F23" i="1" a="1"/>
  <c r="F23" i="1" s="1"/>
  <c r="F15" i="1" a="1"/>
  <c r="F15" i="1" s="1"/>
  <c r="F7" i="1" a="1"/>
  <c r="F7" i="1" s="1"/>
  <c r="A52" i="1"/>
  <c r="P52" i="1" s="1"/>
  <c r="R52" i="1" s="1" a="1"/>
  <c r="R52" i="1" s="1"/>
  <c r="A20" i="1"/>
  <c r="P20" i="1" s="1"/>
  <c r="R20" i="1" s="1" a="1"/>
  <c r="R20" i="1" s="1"/>
  <c r="D44" i="1" a="1"/>
  <c r="D44" i="1" s="1"/>
  <c r="E44" i="1" s="1"/>
  <c r="D28" i="1" a="1"/>
  <c r="D28" i="1" s="1"/>
  <c r="E28" i="1" s="1"/>
  <c r="D20" i="1" a="1"/>
  <c r="D20" i="1" s="1"/>
  <c r="E20" i="1" s="1"/>
  <c r="D12" i="1" a="1"/>
  <c r="D12" i="1" s="1"/>
  <c r="E12" i="1" s="1"/>
  <c r="F5" i="1" a="1"/>
  <c r="F5" i="1" s="1"/>
  <c r="A45" i="1"/>
  <c r="P45" i="1" s="1"/>
  <c r="R45" i="1" s="1" a="1"/>
  <c r="R45" i="1" s="1"/>
  <c r="F60" i="1" a="1"/>
  <c r="F60" i="1" s="1"/>
  <c r="F52" i="1" a="1"/>
  <c r="F52" i="1" s="1"/>
  <c r="F36" i="1" a="1"/>
  <c r="F36" i="1" s="1"/>
  <c r="A53" i="1"/>
  <c r="P53" i="1" s="1"/>
  <c r="R53" i="1" s="1" a="1"/>
  <c r="R53" i="1" s="1"/>
  <c r="A37" i="1"/>
  <c r="P37" i="1" s="1"/>
  <c r="R37" i="1" s="1" a="1"/>
  <c r="R37" i="1" s="1"/>
  <c r="A29" i="1"/>
  <c r="P29" i="1" s="1"/>
  <c r="R29" i="1" s="1" a="1"/>
  <c r="R29" i="1" s="1"/>
  <c r="A21" i="1"/>
  <c r="P21" i="1" s="1"/>
  <c r="R21" i="1" s="1" a="1"/>
  <c r="R21" i="1" s="1"/>
  <c r="S21" i="1" s="1"/>
  <c r="F59" i="1" a="1"/>
  <c r="F59" i="1" s="1"/>
  <c r="F51" i="1" a="1"/>
  <c r="F51" i="1" s="1"/>
  <c r="F43" i="1" a="1"/>
  <c r="F43" i="1" s="1"/>
  <c r="F35" i="1" a="1"/>
  <c r="F35" i="1" s="1"/>
  <c r="F27" i="1" a="1"/>
  <c r="F27" i="1" s="1"/>
  <c r="F19" i="1" a="1"/>
  <c r="F19" i="1" s="1"/>
  <c r="F11" i="1" a="1"/>
  <c r="F11" i="1" s="1"/>
  <c r="A44" i="1"/>
  <c r="P44" i="1" s="1"/>
  <c r="R44" i="1" s="1" a="1"/>
  <c r="R44" i="1" s="1"/>
  <c r="A65" i="1"/>
  <c r="P65" i="1" s="1"/>
  <c r="Q65" i="1" s="1"/>
  <c r="A57" i="1"/>
  <c r="P57" i="1" s="1"/>
  <c r="Q57" i="1" s="1"/>
  <c r="A49" i="1"/>
  <c r="P49" i="1" s="1"/>
  <c r="R49" i="1" s="1" a="1"/>
  <c r="R49" i="1" s="1"/>
  <c r="A41" i="1"/>
  <c r="P41" i="1" s="1"/>
  <c r="R41" i="1" s="1" a="1"/>
  <c r="R41" i="1" s="1"/>
  <c r="A33" i="1"/>
  <c r="P33" i="1" s="1"/>
  <c r="R33" i="1" s="1" a="1"/>
  <c r="R33" i="1" s="1"/>
  <c r="A25" i="1"/>
  <c r="P25" i="1" s="1"/>
  <c r="R25" i="1" s="1" a="1"/>
  <c r="R25" i="1" s="1"/>
  <c r="A17" i="1"/>
  <c r="P17" i="1" s="1"/>
  <c r="D62" i="1" a="1"/>
  <c r="D62" i="1" s="1"/>
  <c r="E62" i="1" s="1"/>
  <c r="D54" i="1" a="1"/>
  <c r="D54" i="1" s="1"/>
  <c r="E54" i="1" s="1"/>
  <c r="D46" i="1" a="1"/>
  <c r="D46" i="1" s="1"/>
  <c r="E46" i="1" s="1"/>
  <c r="D38" i="1" a="1"/>
  <c r="D38" i="1" s="1"/>
  <c r="E38" i="1" s="1"/>
  <c r="D30" i="1" a="1"/>
  <c r="D30" i="1" s="1"/>
  <c r="E30" i="1" s="1"/>
  <c r="D22" i="1" a="1"/>
  <c r="D22" i="1" s="1"/>
  <c r="E22" i="1" s="1"/>
  <c r="D14" i="1" a="1"/>
  <c r="D14" i="1" s="1"/>
  <c r="E14" i="1" s="1"/>
  <c r="D6" i="1" a="1"/>
  <c r="D6" i="1" s="1"/>
  <c r="E6" i="1" s="1"/>
  <c r="D61" i="1" a="1"/>
  <c r="D61" i="1" s="1"/>
  <c r="E61" i="1" s="1"/>
  <c r="D53" i="1" a="1"/>
  <c r="D53" i="1" s="1"/>
  <c r="E53" i="1" s="1"/>
  <c r="D45" i="1" a="1"/>
  <c r="D45" i="1" s="1"/>
  <c r="E45" i="1" s="1"/>
  <c r="D37" i="1" a="1"/>
  <c r="D37" i="1" s="1"/>
  <c r="E37" i="1" s="1"/>
  <c r="D29" i="1" a="1"/>
  <c r="D29" i="1" s="1"/>
  <c r="E29" i="1" s="1"/>
  <c r="D21" i="1" a="1"/>
  <c r="D21" i="1" s="1"/>
  <c r="E21" i="1" s="1"/>
  <c r="D13" i="1" a="1"/>
  <c r="D13" i="1" s="1"/>
  <c r="E13" i="1" s="1"/>
  <c r="D5" i="1" a="1"/>
  <c r="D5" i="1" s="1"/>
  <c r="E5" i="1" s="1"/>
  <c r="A54" i="1"/>
  <c r="P54" i="1" s="1"/>
  <c r="R54" i="1" s="1" a="1"/>
  <c r="R54" i="1" s="1"/>
  <c r="D64" i="1" a="1"/>
  <c r="D64" i="1" s="1"/>
  <c r="E64" i="1" s="1"/>
  <c r="D56" i="1" a="1"/>
  <c r="D56" i="1" s="1"/>
  <c r="E56" i="1" s="1"/>
  <c r="D48" i="1" a="1"/>
  <c r="D48" i="1" s="1"/>
  <c r="E48" i="1" s="1"/>
  <c r="D40" i="1" a="1"/>
  <c r="D40" i="1" s="1"/>
  <c r="E40" i="1" s="1"/>
  <c r="D32" i="1" a="1"/>
  <c r="D32" i="1" s="1"/>
  <c r="E32" i="1" s="1"/>
  <c r="D24" i="1" a="1"/>
  <c r="D24" i="1" s="1"/>
  <c r="E24" i="1" s="1"/>
  <c r="D16" i="1" a="1"/>
  <c r="D16" i="1" s="1"/>
  <c r="E16" i="1" s="1"/>
  <c r="D8" i="1" a="1"/>
  <c r="D8" i="1" s="1"/>
  <c r="E8" i="1" s="1"/>
  <c r="A5" i="1"/>
  <c r="P5" i="1" s="1"/>
  <c r="R5" i="1" s="1" a="1"/>
  <c r="R5" i="1" s="1"/>
  <c r="S5" i="1" s="1"/>
  <c r="D63" i="1" a="1"/>
  <c r="D63" i="1" s="1"/>
  <c r="E63" i="1" s="1"/>
  <c r="D55" i="1" a="1"/>
  <c r="D55" i="1" s="1"/>
  <c r="E55" i="1" s="1"/>
  <c r="D47" i="1" a="1"/>
  <c r="D47" i="1" s="1"/>
  <c r="E47" i="1" s="1"/>
  <c r="D39" i="1" a="1"/>
  <c r="D39" i="1" s="1"/>
  <c r="E39" i="1" s="1"/>
  <c r="D31" i="1" a="1"/>
  <c r="D31" i="1" s="1"/>
  <c r="E31" i="1" s="1"/>
  <c r="D23" i="1" a="1"/>
  <c r="D23" i="1" s="1"/>
  <c r="E23" i="1" s="1"/>
  <c r="D15" i="1" a="1"/>
  <c r="D15" i="1" s="1"/>
  <c r="E15" i="1" s="1"/>
  <c r="D7" i="1" a="1"/>
  <c r="D7" i="1" s="1"/>
  <c r="E7" i="1" s="1"/>
  <c r="A66" i="1"/>
  <c r="P66" i="1" s="1"/>
  <c r="Q66" i="1" s="1"/>
  <c r="A58" i="1"/>
  <c r="P58" i="1" s="1"/>
  <c r="Q58" i="1" s="1"/>
  <c r="A50" i="1"/>
  <c r="P50" i="1" s="1"/>
  <c r="R50" i="1" s="1" a="1"/>
  <c r="R50" i="1" s="1"/>
  <c r="A42" i="1"/>
  <c r="P42" i="1" s="1"/>
  <c r="R42" i="1" s="1" a="1"/>
  <c r="R42" i="1" s="1"/>
  <c r="A34" i="1"/>
  <c r="P34" i="1" s="1"/>
  <c r="A26" i="1"/>
  <c r="P26" i="1" s="1"/>
  <c r="R26" i="1" s="1" a="1"/>
  <c r="R26" i="1" s="1"/>
  <c r="D11" i="1" a="1"/>
  <c r="D11" i="1" s="1"/>
  <c r="E11" i="1" s="1"/>
  <c r="D66" i="1" a="1"/>
  <c r="D66" i="1" s="1"/>
  <c r="E66" i="1" s="1"/>
  <c r="D58" i="1" a="1"/>
  <c r="D58" i="1" s="1"/>
  <c r="E58" i="1" s="1"/>
  <c r="D50" i="1" a="1"/>
  <c r="D50" i="1" s="1"/>
  <c r="E50" i="1" s="1"/>
  <c r="D42" i="1" a="1"/>
  <c r="D42" i="1" s="1"/>
  <c r="E42" i="1" s="1"/>
  <c r="D34" i="1" a="1"/>
  <c r="D34" i="1" s="1"/>
  <c r="E34" i="1" s="1"/>
  <c r="D26" i="1" a="1"/>
  <c r="D26" i="1" s="1"/>
  <c r="E26" i="1" s="1"/>
  <c r="D10" i="1" a="1"/>
  <c r="D10" i="1" s="1"/>
  <c r="E10" i="1" s="1"/>
  <c r="A4" i="1"/>
  <c r="P4" i="1" s="1"/>
  <c r="R4" i="1" s="1" a="1"/>
  <c r="R4" i="1" s="1"/>
  <c r="S4" i="1" s="1"/>
  <c r="A59" i="1"/>
  <c r="P59" i="1" s="1"/>
  <c r="Q59" i="1" s="1"/>
  <c r="A43" i="1"/>
  <c r="P43" i="1" s="1"/>
  <c r="R43" i="1" s="1" a="1"/>
  <c r="R43" i="1" s="1"/>
  <c r="A27" i="1"/>
  <c r="P27" i="1" s="1"/>
  <c r="R27" i="1" s="1" a="1"/>
  <c r="R27" i="1" s="1"/>
  <c r="D65" i="1" a="1"/>
  <c r="D65" i="1" s="1"/>
  <c r="E65" i="1" s="1"/>
  <c r="D57" i="1" a="1"/>
  <c r="D57" i="1" s="1"/>
  <c r="E57" i="1" s="1"/>
  <c r="D49" i="1" a="1"/>
  <c r="D49" i="1" s="1"/>
  <c r="E49" i="1" s="1"/>
  <c r="D41" i="1" a="1"/>
  <c r="D41" i="1" s="1"/>
  <c r="E41" i="1" s="1"/>
  <c r="D33" i="1" a="1"/>
  <c r="D33" i="1" s="1"/>
  <c r="E33" i="1" s="1"/>
  <c r="D25" i="1" a="1"/>
  <c r="D25" i="1" s="1"/>
  <c r="E25" i="1" s="1"/>
  <c r="D17" i="1" a="1"/>
  <c r="D17" i="1" s="1"/>
  <c r="E17" i="1" s="1"/>
  <c r="D9" i="1" a="1"/>
  <c r="D9" i="1" s="1"/>
  <c r="E9" i="1" s="1"/>
  <c r="Q63" i="1"/>
  <c r="R23" i="1" a="1"/>
  <c r="R23" i="1" s="1"/>
  <c r="R16" i="1" a="1"/>
  <c r="R16" i="1" s="1"/>
  <c r="R13" i="1" a="1"/>
  <c r="R13" i="1" s="1"/>
  <c r="S13" i="1" s="1"/>
  <c r="A9" i="1"/>
  <c r="P9" i="1" s="1"/>
  <c r="Q7" i="1" l="1"/>
  <c r="Q19" i="1"/>
  <c r="Q8" i="1"/>
  <c r="Q62" i="1"/>
  <c r="R64" i="1" a="1"/>
  <c r="R64" i="1" s="1"/>
  <c r="S64" i="1" s="1"/>
  <c r="R61" i="1" a="1"/>
  <c r="R61" i="1" s="1"/>
  <c r="S61" i="1" s="1"/>
  <c r="H48" i="1"/>
  <c r="G48" i="1"/>
  <c r="H27" i="1"/>
  <c r="N27" i="1" s="1"/>
  <c r="G27" i="1"/>
  <c r="H39" i="1"/>
  <c r="N39" i="1" s="1"/>
  <c r="G39" i="1"/>
  <c r="H64" i="1"/>
  <c r="N64" i="1" s="1"/>
  <c r="G64" i="1"/>
  <c r="H40" i="1"/>
  <c r="N40" i="1" s="1"/>
  <c r="G40" i="1"/>
  <c r="H33" i="1"/>
  <c r="N33" i="1" s="1"/>
  <c r="G33" i="1"/>
  <c r="H6" i="1"/>
  <c r="N6" i="1" s="1"/>
  <c r="G6" i="1"/>
  <c r="H42" i="1"/>
  <c r="N42" i="1" s="1"/>
  <c r="G42" i="1"/>
  <c r="H35" i="1"/>
  <c r="N35" i="1" s="1"/>
  <c r="G35" i="1"/>
  <c r="H47" i="1"/>
  <c r="N47" i="1" s="1"/>
  <c r="G47" i="1"/>
  <c r="H56" i="1"/>
  <c r="G56" i="1"/>
  <c r="H41" i="1"/>
  <c r="G41" i="1"/>
  <c r="H13" i="1"/>
  <c r="N13" i="1" s="1"/>
  <c r="G13" i="1"/>
  <c r="H14" i="1"/>
  <c r="N14" i="1" s="1"/>
  <c r="G14" i="1"/>
  <c r="H50" i="1"/>
  <c r="N50" i="1" s="1"/>
  <c r="G50" i="1"/>
  <c r="H32" i="1"/>
  <c r="N32" i="1" s="1"/>
  <c r="G32" i="1"/>
  <c r="H36" i="1"/>
  <c r="N36" i="1" s="1"/>
  <c r="G36" i="1"/>
  <c r="R57" i="1" a="1"/>
  <c r="R57" i="1" s="1"/>
  <c r="S57" i="1" s="1"/>
  <c r="H43" i="1"/>
  <c r="G43" i="1"/>
  <c r="H52" i="1"/>
  <c r="N52" i="1" s="1"/>
  <c r="G52" i="1"/>
  <c r="H55" i="1"/>
  <c r="G55" i="1"/>
  <c r="H49" i="1"/>
  <c r="G49" i="1"/>
  <c r="H4" i="1"/>
  <c r="N4" i="1" s="1"/>
  <c r="G4" i="1"/>
  <c r="H12" i="1"/>
  <c r="G12" i="1"/>
  <c r="H21" i="1"/>
  <c r="N21" i="1" s="1"/>
  <c r="G21" i="1"/>
  <c r="H22" i="1"/>
  <c r="N22" i="1" s="1"/>
  <c r="G22" i="1"/>
  <c r="H9" i="1"/>
  <c r="N9" i="1" s="1"/>
  <c r="G9" i="1"/>
  <c r="H58" i="1"/>
  <c r="N58" i="1" s="1"/>
  <c r="G58" i="1"/>
  <c r="H19" i="1"/>
  <c r="N19" i="1" s="1"/>
  <c r="G19" i="1"/>
  <c r="H57" i="1"/>
  <c r="N57" i="1" s="1"/>
  <c r="G57" i="1"/>
  <c r="H18" i="1"/>
  <c r="N18" i="1" s="1"/>
  <c r="G18" i="1"/>
  <c r="H20" i="1"/>
  <c r="N20" i="1" s="1"/>
  <c r="G20" i="1"/>
  <c r="H29" i="1"/>
  <c r="N29" i="1" s="1"/>
  <c r="G29" i="1"/>
  <c r="H46" i="1"/>
  <c r="N46" i="1" s="1"/>
  <c r="G46" i="1"/>
  <c r="H25" i="1"/>
  <c r="N25" i="1" s="1"/>
  <c r="G25" i="1"/>
  <c r="H66" i="1"/>
  <c r="N66" i="1" s="1"/>
  <c r="G66" i="1"/>
  <c r="H31" i="1"/>
  <c r="G31" i="1"/>
  <c r="H51" i="1"/>
  <c r="G51" i="1"/>
  <c r="H60" i="1"/>
  <c r="N60" i="1" s="1"/>
  <c r="G60" i="1"/>
  <c r="H63" i="1"/>
  <c r="N63" i="1" s="1"/>
  <c r="G63" i="1"/>
  <c r="H59" i="1"/>
  <c r="N59" i="1" s="1"/>
  <c r="G59" i="1"/>
  <c r="H7" i="1"/>
  <c r="N7" i="1" s="1"/>
  <c r="G7" i="1"/>
  <c r="H8" i="1"/>
  <c r="N8" i="1" s="1"/>
  <c r="G8" i="1"/>
  <c r="H17" i="1"/>
  <c r="N17" i="1" s="1"/>
  <c r="G17" i="1"/>
  <c r="H65" i="1"/>
  <c r="N65" i="1" s="1"/>
  <c r="G65" i="1"/>
  <c r="H30" i="1"/>
  <c r="N30" i="1" s="1"/>
  <c r="G30" i="1"/>
  <c r="H28" i="1"/>
  <c r="N28" i="1" s="1"/>
  <c r="G28" i="1"/>
  <c r="H37" i="1"/>
  <c r="N37" i="1" s="1"/>
  <c r="G37" i="1"/>
  <c r="H54" i="1"/>
  <c r="G54" i="1"/>
  <c r="H10" i="1"/>
  <c r="N10" i="1" s="1"/>
  <c r="G10" i="1"/>
  <c r="H5" i="1"/>
  <c r="N5" i="1" s="1"/>
  <c r="G5" i="1"/>
  <c r="H15" i="1"/>
  <c r="N15" i="1" s="1"/>
  <c r="G15" i="1"/>
  <c r="H16" i="1"/>
  <c r="N16" i="1" s="1"/>
  <c r="G16" i="1"/>
  <c r="H38" i="1"/>
  <c r="N38" i="1" s="1"/>
  <c r="G38" i="1"/>
  <c r="H45" i="1"/>
  <c r="N45" i="1" s="1"/>
  <c r="G45" i="1"/>
  <c r="H11" i="1"/>
  <c r="N11" i="1" s="1"/>
  <c r="G11" i="1"/>
  <c r="H23" i="1"/>
  <c r="N23" i="1" s="1"/>
  <c r="G23" i="1"/>
  <c r="H24" i="1"/>
  <c r="G24" i="1"/>
  <c r="H62" i="1"/>
  <c r="N62" i="1" s="1"/>
  <c r="G62" i="1"/>
  <c r="H44" i="1"/>
  <c r="G44" i="1"/>
  <c r="H53" i="1"/>
  <c r="G53" i="1"/>
  <c r="H26" i="1"/>
  <c r="N26" i="1" s="1"/>
  <c r="G26" i="1"/>
  <c r="H61" i="1"/>
  <c r="N61" i="1" s="1"/>
  <c r="G61" i="1"/>
  <c r="H34" i="1"/>
  <c r="N34" i="1" s="1"/>
  <c r="G34" i="1"/>
  <c r="Q21" i="1"/>
  <c r="R17" i="1" a="1"/>
  <c r="R17" i="1" s="1"/>
  <c r="R60" i="1" a="1"/>
  <c r="R60" i="1" s="1"/>
  <c r="S60" i="1" s="1"/>
  <c r="Q11" i="1"/>
  <c r="R59" i="1" a="1"/>
  <c r="R59" i="1" s="1"/>
  <c r="S59" i="1" s="1"/>
  <c r="R65" i="1" a="1"/>
  <c r="R65" i="1" s="1"/>
  <c r="S65" i="1" s="1"/>
  <c r="R66" i="1" a="1"/>
  <c r="R66" i="1" s="1"/>
  <c r="S66" i="1" s="1"/>
  <c r="R34" i="1" a="1"/>
  <c r="R34" i="1" s="1"/>
  <c r="Q35" i="1"/>
  <c r="Q40" i="1"/>
  <c r="Q10" i="1"/>
  <c r="Q5" i="1"/>
  <c r="R58" i="1" a="1"/>
  <c r="R58" i="1" s="1"/>
  <c r="S58" i="1" s="1"/>
  <c r="Q6" i="1"/>
  <c r="S6" i="1" s="1"/>
  <c r="Q15" i="1"/>
  <c r="Q4" i="1"/>
  <c r="R9" i="1" a="1"/>
  <c r="R9" i="1" s="1"/>
  <c r="S9" i="1" s="1"/>
  <c r="Q9" i="1"/>
  <c r="Q24" i="1" l="1"/>
  <c r="Q18" i="1"/>
  <c r="N12" i="1"/>
  <c r="Q12" i="1"/>
  <c r="Q26" i="1"/>
  <c r="Q14" i="1"/>
  <c r="Q30" i="1"/>
  <c r="Q37" i="1"/>
  <c r="Q16" i="1"/>
  <c r="Q27" i="1"/>
  <c r="Q25" i="1"/>
  <c r="Q20" i="1"/>
  <c r="Q38" i="1"/>
  <c r="Q33" i="1"/>
  <c r="N31" i="1"/>
  <c r="Q31" i="1"/>
  <c r="Q17" i="1"/>
  <c r="Q46" i="1"/>
  <c r="N48" i="1"/>
  <c r="Q48" i="1"/>
  <c r="N43" i="1"/>
  <c r="Q43" i="1"/>
  <c r="N41" i="1"/>
  <c r="Q41" i="1"/>
  <c r="N49" i="1"/>
  <c r="Q49" i="1"/>
  <c r="N51" i="1"/>
  <c r="Q51" i="1"/>
  <c r="N44" i="1"/>
  <c r="Q44" i="1"/>
  <c r="N24" i="1"/>
  <c r="Q22" i="1"/>
  <c r="N55" i="1"/>
  <c r="Q55" i="1"/>
  <c r="N56" i="1"/>
  <c r="Q56" i="1"/>
  <c r="S56" i="1" s="1"/>
  <c r="N53" i="1"/>
  <c r="Q53" i="1"/>
  <c r="N54" i="1"/>
  <c r="Q54" i="1"/>
  <c r="Q50" i="1"/>
  <c r="Q42" i="1"/>
  <c r="Q34" i="1"/>
  <c r="Q45" i="1"/>
  <c r="Q52" i="1"/>
  <c r="Q36" i="1"/>
  <c r="Q28" i="1"/>
  <c r="Q39" i="1"/>
  <c r="Q32" i="1"/>
  <c r="Q23" i="1"/>
  <c r="Q29" i="1"/>
  <c r="Q47" i="1"/>
  <c r="S10" i="1"/>
  <c r="S24" i="1" l="1"/>
  <c r="S35" i="1"/>
  <c r="S33" i="1"/>
  <c r="S12" i="1"/>
  <c r="S18" i="1"/>
  <c r="S14" i="1"/>
  <c r="S26" i="1"/>
  <c r="S30" i="1"/>
  <c r="S16" i="1"/>
  <c r="S27" i="1"/>
  <c r="S37" i="1"/>
  <c r="S20" i="1"/>
  <c r="S15" i="1"/>
  <c r="S25" i="1"/>
  <c r="S17" i="1"/>
  <c r="S40" i="1"/>
  <c r="S29" i="1"/>
  <c r="S31" i="1"/>
  <c r="S38" i="1"/>
  <c r="S36" i="1"/>
  <c r="S54" i="1"/>
  <c r="S22" i="1"/>
  <c r="S41" i="1"/>
  <c r="S49" i="1"/>
  <c r="S50" i="1"/>
  <c r="S45" i="1"/>
  <c r="S44" i="1"/>
  <c r="S43" i="1"/>
  <c r="S53" i="1"/>
  <c r="S48" i="1"/>
  <c r="S42" i="1"/>
  <c r="S52" i="1"/>
  <c r="S39" i="1"/>
  <c r="S55" i="1"/>
  <c r="S46" i="1"/>
  <c r="S51" i="1"/>
  <c r="S47" i="1"/>
  <c r="S32" i="1"/>
  <c r="S34" i="1"/>
  <c r="S28" i="1"/>
  <c r="S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8D74E9-BEA0-F543-A641-7D94CE67C300}" keepAlive="1" name="Query - Fidelity_FixedIncome_SearchResults" description="Connection to the 'Fidelity_FixedIncome_SearchResults' query in the workbook." type="5" refreshedVersion="8" background="1" saveData="1">
    <dbPr connection="Provider=Microsoft.Mashup.OleDb.1;Data Source=$Workbook$;Location=Fidelity_FixedIncome_SearchResults;Extended Properties=&quot;&quot;" command="SELECT * FROM [Fidelity_FixedIncome_SearchResul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<sst xmlns="http://schemas.openxmlformats.org/spreadsheetml/2006/main" count="321" uniqueCount="114">
  <si>
    <t>Cusip</t>
  </si>
  <si>
    <t>State</t>
  </si>
  <si>
    <t>Description</t>
  </si>
  <si>
    <t>Coupon</t>
  </si>
  <si>
    <t>Maturity Date</t>
  </si>
  <si>
    <t>Moody's Rating</t>
  </si>
  <si>
    <t>S&amp;P Rating</t>
  </si>
  <si>
    <t>Price Bid</t>
  </si>
  <si>
    <t>Price Ask</t>
  </si>
  <si>
    <t>Yield Bid</t>
  </si>
  <si>
    <t>Ask Yield to Worst</t>
  </si>
  <si>
    <t>Ask Yield to Maturity</t>
  </si>
  <si>
    <t>Inflation Factor</t>
  </si>
  <si>
    <t>Adjusted Price Bid</t>
  </si>
  <si>
    <t>Adjusted Price Ask</t>
  </si>
  <si>
    <t>Attributes</t>
  </si>
  <si>
    <t>N/A</t>
  </si>
  <si>
    <t>--</t>
  </si>
  <si>
    <t>The data and information in this spreadsheet is provided to you solely for your use and is not for distribution. The</t>
  </si>
  <si>
    <t>spreadsheet is provided for informational purposes only, and is not intended to provide advice, nor should it be</t>
  </si>
  <si>
    <t>construed as an offer to sell, a solicitation of an offer to buy or a recommendation for any security by Fidelity or any</t>
  </si>
  <si>
    <t xml:space="preserve">third party. Data and information shown is based on information known to Fidelity as of the date it was exported and </t>
  </si>
  <si>
    <t xml:space="preserve">is subject to change. It should not be used in place of your account statements or trade confirmations and is not </t>
  </si>
  <si>
    <t xml:space="preserve">intended for tax reporting purposes. For more information on the data included in this spreadsheet, including any </t>
  </si>
  <si>
    <t xml:space="preserve">limitations thereof, go to Fidelity.com. </t>
  </si>
  <si>
    <t xml:space="preserve">Brokerage services are provided by Fidelity Brokerage Services LLC, 900 Salem Street, Smithfield, RI 02917. </t>
  </si>
  <si>
    <t xml:space="preserve">Custody and other services provided by National Financial Services LLC. Both are Fidelity Investment companies </t>
  </si>
  <si>
    <t xml:space="preserve">and members SIPC, NYSE. </t>
  </si>
  <si>
    <t>Maturity Year</t>
  </si>
  <si>
    <t>Coupon Rate</t>
  </si>
  <si>
    <t>Ladder Year</t>
  </si>
  <si>
    <t>[Download]</t>
  </si>
  <si>
    <t>1.  In the next column, enter today's date (mm/dd/yyyy).</t>
  </si>
  <si>
    <t>4.  In the next columns, starting with the earliest applicable year, enter the years (one year per column in the yyyy format) in which you want to realize an amount of "real" income that differs from the most common amount entered in response to question 3.  Then see question 5.</t>
  </si>
  <si>
    <t>b.  In the next columns, enter the stated coupon rate of the TIPS maturing on such date.</t>
  </si>
  <si>
    <t>Inflation Factor/Index Ratio</t>
  </si>
  <si>
    <r>
      <t>a.  In the next columns, enter the maturity dates of such existing TIPS (mm/dd/yyyy).  If you have existing TIPS with the same maturity date but with different coupon rates, enter the date multiple times (in multiple columns), once for each coupon rate. [</t>
    </r>
    <r>
      <rPr>
        <i/>
        <sz val="14"/>
        <color theme="1"/>
        <rFont val="Calibri"/>
        <family val="2"/>
        <scheme val="minor"/>
      </rPr>
      <t>Mike to think through what happens if there are TIPS with the same maturity date and coupon but different issue dates (none of which currently exist), thus having different Index Factors.  Should I require entry of Issue Date (which is not in Fidelity download) or Cusip?</t>
    </r>
    <r>
      <rPr>
        <sz val="14"/>
        <color theme="1"/>
        <rFont val="Calibri"/>
        <family val="2"/>
        <scheme val="minor"/>
      </rPr>
      <t>]</t>
    </r>
  </si>
  <si>
    <t>6.  If you already own TIPS that you want to be  included in your ladder, answer questions (a), (b), (c), and (d) immediately below.</t>
  </si>
  <si>
    <t>2.  In the next column, enter the first year of your ladder (yyyy).  In the column immediately to the right of that column, enter the last year of your ladder (yyyy) [Note that the first year may not be earlier than the current year, and the last year may not be more than 30 years after the current year (as no TIPS have more than a 30-year maturity).</t>
  </si>
  <si>
    <r>
      <rPr>
        <sz val="12"/>
        <color rgb="FFFF0000"/>
        <rFont val="Calibri (Body)"/>
      </rPr>
      <t xml:space="preserve"> [For a later draft, consider reducing this number for partial year interest in the first and last year of a bond.</t>
    </r>
    <r>
      <rPr>
        <sz val="12"/>
        <color theme="1"/>
        <rFont val="Calibri"/>
        <family val="2"/>
        <scheme val="minor"/>
      </rPr>
      <t>]</t>
    </r>
  </si>
  <si>
    <t xml:space="preserve">After-Tax Desired "Real" Income Per Ladder Year </t>
  </si>
  <si>
    <t xml:space="preserve">Uninflated Original Principal of TIPS Already Owned in Regular Taxable Brokerage Accounts </t>
  </si>
  <si>
    <t>Number of TIPS Already Owned in Roth Accounts</t>
  </si>
  <si>
    <t xml:space="preserve">Number of TIPS Already Owned in Regular Taxable Brokerage Accounts </t>
  </si>
  <si>
    <t>Uninflated Original Principal of TIPS Already Owned in Roth Accounts</t>
  </si>
  <si>
    <t>Number of TIPS Already Owned in Pretax Retirement Accounts</t>
  </si>
  <si>
    <t>Uninflated Original Principal of TIPS Already Owned in Pretax Retirement Accounts (Adjusted for Taxes)</t>
  </si>
  <si>
    <t>[Note:  Taxes on the inflation adjustment to the principal of TIPS held in Regular Taxable Brokerage Accounts are not taken into account, as it is not possible to anticipate what the inflation adjustments will be.]</t>
  </si>
  <si>
    <t>d.  In the next columns, enter the quantity of such existing TIPS (each TIPS having an original principal amount of $1,000) that you hold in a pretax retirement account.</t>
  </si>
  <si>
    <t>c.  In the next columns, enter the quantity of such existing TIPS (each TIPS having an original principal amount of $1,000) that you hold in a regular taxable brokerage account.</t>
  </si>
  <si>
    <t>e.  In the next columns, enter the quantity of such existing TIPS (each TIPS having an original principal amount of $1,000) that you hold in a Roth account.</t>
  </si>
  <si>
    <t>Uninflated Original Principal of TIPS Already Owned in Pretax Retirement Accounts</t>
  </si>
  <si>
    <t>Inflated Principal of TIPS Already Owned (Tax-Adjusted for TIPS Already Owned in Pretax Retirement Accounts)</t>
  </si>
  <si>
    <t xml:space="preserve">Current Dollar Annual Coupon Payments, Adjusted (except with respect to TIPS Held in a Roth Account) for Taxes </t>
  </si>
  <si>
    <t>Inflated Principal of TIPS Already Owned (Tax-Adjusted for TIPS Owned in Pretax Retirement Accounts) Per Ladder Year</t>
  </si>
  <si>
    <r>
      <t xml:space="preserve">After-Tax"Real" Income </t>
    </r>
    <r>
      <rPr>
        <sz val="12"/>
        <color theme="9"/>
        <rFont val="Calibri (Body)"/>
      </rPr>
      <t>Surplus</t>
    </r>
    <r>
      <rPr>
        <sz val="12"/>
        <color theme="1"/>
        <rFont val="Calibri"/>
        <family val="2"/>
        <scheme val="minor"/>
      </rPr>
      <t>/</t>
    </r>
    <r>
      <rPr>
        <sz val="12"/>
        <color rgb="FFFF0000"/>
        <rFont val="Calibri (Body)"/>
      </rPr>
      <t>Shortfall</t>
    </r>
    <r>
      <rPr>
        <sz val="12"/>
        <color theme="1"/>
        <rFont val="Calibri (Body)"/>
      </rPr>
      <t xml:space="preserve"> Per Ladder Year</t>
    </r>
    <r>
      <rPr>
        <sz val="12"/>
        <color theme="1"/>
        <rFont val="Calibri"/>
        <family val="2"/>
        <scheme val="minor"/>
      </rPr>
      <t xml:space="preserve"> (Takes into account the applicable year's maturing principal plus interest received that year on current and future maturing TIPS)</t>
    </r>
  </si>
  <si>
    <t>5.  Below each of the applicable years entered in response to question 4, enter the amount of "real" income you want to realize in that year.  [Note:  Because, as of the preparation of ths spreadsheet, no TIPS that mature in year 2035 through year 2039 (the "Gap Years"), the user may want to increase the amount of desired "real" income in 2033 and 2040 to cover the Gap Years."]</t>
  </si>
  <si>
    <t>7.  To "tax effect" the calculations in this spreadsheet, replace the percentage in the next column with your marginal income tax rate.  Doing so will (i) except with respect to TIPS held in a Roth account, cause the "Current Dollar Annual Coupon Payments, Adjusted for Taxes" to be reduced based on such tax rate, and (ii) with respect to TIPS owned in a pretax retirement account, cause the "Principal of TIPS Already Owned" to be reduced based on such tax rate. Note that there is no tax effect for the "phantom income" of TIPS held in regular taxable brokerage accounts.</t>
  </si>
  <si>
    <t>AA1</t>
  </si>
  <si>
    <t>UNITED STATES TREAS NTS SER X-2026      0.12500% 04/15/2026</t>
  </si>
  <si>
    <t xml:space="preserve">CP D </t>
  </si>
  <si>
    <t>UNITED STATES TREAS NTS                 0.12500% 07/15/2026 TIPS</t>
  </si>
  <si>
    <t>UNITED STATES TREAS NTS SER AE-2026     0.12500% 10/15/2026</t>
  </si>
  <si>
    <t>UNITED STATES TREAS BDS TIPS            2.37500% 01/15/2027</t>
  </si>
  <si>
    <t>UNITED STATES TREAS NTS TIPS            0.37500% 01/15/2027</t>
  </si>
  <si>
    <t>UNITED STATES TREAS NTS SER X-2027      0.12500% 04/15/2027</t>
  </si>
  <si>
    <t>UNITED STATES TREAS NTS SER D-2027      0.37500% 07/15/2027</t>
  </si>
  <si>
    <t>UNITED STATES TREAS NTS SER AE-2027     1.62500% 10/15/2027</t>
  </si>
  <si>
    <t>UNITED STATES       TREASURY            1.75000% 01/15/2028</t>
  </si>
  <si>
    <t>UNITED STATES TREAS NTS SER A-2028      0.50000% 01/15/2028</t>
  </si>
  <si>
    <t>UNITED STATES TREAS BDS                 3.62500% 04/15/2028</t>
  </si>
  <si>
    <t>UNITED STATES TREAS NTS SER X-2028      1.25000% 04/15/2028</t>
  </si>
  <si>
    <t>UNITED STATES TREAS NTS SER D-2028      0.75000% 07/15/2028</t>
  </si>
  <si>
    <t>UNITED STATES TREAS NTS SER AE-2028     2.37500% 10/15/2028</t>
  </si>
  <si>
    <t>UNITED STATES TREAS BDS                 2.50000% 01/15/2029 TIPS</t>
  </si>
  <si>
    <t>UNITED STATES TREAS NTS SER A-2029      0.87500% 01/15/2029</t>
  </si>
  <si>
    <t>UNITED STATES TREAS BDS                 3.87500% 04/15/2029</t>
  </si>
  <si>
    <t>UNITED STATES TREAS NTS SER X-2029      2.12500% 04/15/2029</t>
  </si>
  <si>
    <t>UNITED STATES TREAS NTS SER D-2029      0.25000% 07/15/2029</t>
  </si>
  <si>
    <t>UNITED STATES TREAS NTS SER AE-2029     1.62500% 10/15/2029</t>
  </si>
  <si>
    <t>UNITED STATES TREAS NTS SER A-2030      0.12500% 01/15/2030</t>
  </si>
  <si>
    <t>UNITED STATES TREAS NTS SER X-2030      1.62500% 04/15/2030</t>
  </si>
  <si>
    <t>UNITED STATES TREAS NTS SER D-2030      0.12500% 07/15/2030</t>
  </si>
  <si>
    <t>UNITED STATES TREAS NTS SER AE-2030     1.12500% 10/15/2030</t>
  </si>
  <si>
    <t>UNITED STATES TREAS NTS SER A-2031      0.12500% 01/15/2031</t>
  </si>
  <si>
    <t>UNITED STATES TREAS NTS SER D-2031      0.12500% 07/15/2031</t>
  </si>
  <si>
    <t>UNITED STATES TREAS NTS SER A-2032      0.12500% 01/15/2032</t>
  </si>
  <si>
    <t>UNITED STATES       TREASURY            3.37500% 04/15/2032</t>
  </si>
  <si>
    <t>UNITED STATES TREAS NTS SER D-2032      0.62500% 07/15/2032</t>
  </si>
  <si>
    <t>UNITED STATES TREAS NTS SER A-2033      1.12500% 01/15/2033</t>
  </si>
  <si>
    <t>UNITED STATES TREAS NTS SER D-2033      1.37500% 07/15/2033</t>
  </si>
  <si>
    <t>UNITED STATES TREAS NTS SER A-2034      1.75000% 01/15/2034</t>
  </si>
  <si>
    <t>UNITED STATES TREAS NTS SER D-2034      1.87500% 07/15/2034</t>
  </si>
  <si>
    <t>UNITED STATES TREAS NTS SER A-2035      2.12500% 01/15/2035</t>
  </si>
  <si>
    <t>UNITED STATES TREAS NTS SER D-2035      1.87500% 07/15/2035</t>
  </si>
  <si>
    <t>UNITED STATES TREAS NTS SER A-2036      1.87500% 01/15/2036</t>
  </si>
  <si>
    <t>UNITED STATES TREAS BDS                 2.12500% 02/15/2040</t>
  </si>
  <si>
    <t>UNITED STATES TREAS BDS                 2.12500% 02/15/2041</t>
  </si>
  <si>
    <t>UNITED STATES TREAS BDS                 0.75000% 02/15/2042 TIPS</t>
  </si>
  <si>
    <t>UNITED STATES TREAS BDS                 0.62500% 02/15/2043</t>
  </si>
  <si>
    <t>UNITED STATES TREAS BDS                 1.37500% 02/15/2044</t>
  </si>
  <si>
    <t>UNITED STATES TREAS BDS                 0.75000% 02/15/2045</t>
  </si>
  <si>
    <t>UNITED STATES TREAS BDS                 1.00000% 02/15/2046 TIPS</t>
  </si>
  <si>
    <t>UNITED STATES TREAS BDS TIPS            0.87500% 02/15/2047</t>
  </si>
  <si>
    <t>UNITED STATES TREAS BONDS               1.00000% 02/15/2048</t>
  </si>
  <si>
    <t>UNITED STATES TREAS BDS                 1.00000% 02/15/2049 SER TIPS OF FEBRUARY</t>
  </si>
  <si>
    <t>UNITED STATES TREAS BDS                 0.25000% 02/15/2050 SER TIPS OF FEBRUARY</t>
  </si>
  <si>
    <t>UNITED STATES TREAS BDS                 0.12500% 02/15/2051 SER TIPS OF FEBRUARY</t>
  </si>
  <si>
    <t>UNITED STATES TREAS BDS                 0.12500% 02/15/2052 SER TIPS OF FEBRUARY</t>
  </si>
  <si>
    <t>UNITED STATES TREAS BDS                 1.50000% 02/15/2053 SER TIPS OF FEBRUARY</t>
  </si>
  <si>
    <t>UNITED STATES TREAS BDS                 2.12500% 02/15/2054 SER TIPS OF FEBRUARY</t>
  </si>
  <si>
    <t>UNITED STATES TREAS BDS                 2.37500% 02/15/2055 SER TIPS OF FEBRUARY</t>
  </si>
  <si>
    <t>Date downloaded 01/29/2026 11:58 AM</t>
  </si>
  <si>
    <r>
      <t xml:space="preserve">3.  In the next column, enter the most common amount of after-tax "real" income do you want to realize from your TIPS ladder in each year.  </t>
    </r>
    <r>
      <rPr>
        <sz val="16"/>
        <color rgb="FFFF0000"/>
        <rFont val="Calibri (Body)"/>
      </rPr>
      <t>[Note:  I picked $33,000 in Jan 2023 and then inflated using CPI-U.]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</si>
</sst>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m/d/yyyy;@"/>
    <numFmt numFmtId="165" formatCode="mm/dd/yy;@"/>
    <numFmt numFmtId="166" formatCode="&quot;$&quot;#,##0.00"/>
    <numFmt numFmtId="167" formatCode="0.000%"/>
    <numFmt numFmtId="168" formatCode="0.0%"/>
  </numFmts>
  <fonts count="9" x14ac:knownFonts="1">
    <font>
      <sz val="12"/>
      <color theme="1"/>
      <name val="Calibri"/>
      <family val="2"/>
      <scheme val="minor"/>
    </font>
    <font>
      <sz val="12"/>
      <color theme="1"/>
      <name val="Calibri"/>
      <family val="2"/>
      <scheme val="minor"/>
    </font>
    <font>
      <sz val="12"/>
      <color rgb="FFFF0000"/>
      <name val="Calibri (Body)"/>
    </font>
    <font>
      <sz val="12"/>
      <color theme="9"/>
      <name val="Calibri (Body)"/>
    </font>
    <font>
      <sz val="14"/>
      <color theme="1"/>
      <name val="Calibri"/>
      <family val="2"/>
      <scheme val="minor"/>
    </font>
    <font>
      <sz val="16"/>
      <color theme="1"/>
      <name val="Calibri"/>
      <family val="2"/>
      <scheme val="minor"/>
    </font>
    <font>
      <i/>
      <sz val="14"/>
      <color theme="1"/>
      <name val="Calibri"/>
      <family val="2"/>
      <scheme val="minor"/>
    </font>
    <font>
      <sz val="12"/>
      <color theme="1"/>
      <name val="Calibri (Body)"/>
    </font>
    <font>
      <sz val="16"/>
      <color rgb="FFFF0000"/>
      <name val="Calibri (Body)"/>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4">
    <xf numFmtId="0" fontId="0" fillId="0" borderId="0" xfId="0"/>
    <xf numFmtId="14" fontId="0" fillId="0" borderId="0" xfId="0" applyNumberFormat="1"/>
    <xf numFmtId="164" fontId="0" fillId="0" borderId="0" xfId="0" applyNumberFormat="1"/>
    <xf numFmtId="0" fontId="0" fillId="0" borderId="0" xfId="0" applyAlignment="1">
      <alignment wrapText="1"/>
    </xf>
    <xf numFmtId="165" fontId="0" fillId="0" borderId="0" xfId="0" applyNumberFormat="1"/>
    <xf numFmtId="0" fontId="5" fillId="0" borderId="0" xfId="0" applyFont="1" applyAlignment="1">
      <alignment horizontal="left"/>
    </xf>
    <xf numFmtId="0" fontId="5" fillId="0" borderId="0" xfId="0" applyFont="1" applyAlignment="1">
      <alignment horizontal="left" wrapText="1"/>
    </xf>
    <xf numFmtId="0" fontId="5" fillId="0" borderId="0" xfId="0" applyFont="1" applyAlignment="1">
      <alignment wrapText="1"/>
    </xf>
    <xf numFmtId="166" fontId="0" fillId="0" borderId="0" xfId="0" applyNumberFormat="1"/>
    <xf numFmtId="0" fontId="4" fillId="0" borderId="0" xfId="0" applyFont="1" applyAlignment="1">
      <alignment wrapText="1"/>
    </xf>
    <xf numFmtId="9" fontId="0" fillId="0" borderId="0" xfId="1" applyFont="1"/>
    <xf numFmtId="0" fontId="4" fillId="0" borderId="0" xfId="0" applyFont="1"/>
    <xf numFmtId="2" fontId="0" fillId="0" borderId="0" xfId="0" applyNumberFormat="1"/>
    <xf numFmtId="1" fontId="0" fillId="0" borderId="0" xfId="0" applyNumberFormat="1"/>
    <xf numFmtId="2" fontId="0" fillId="0" borderId="0" xfId="0" applyNumberFormat="1" applyAlignment="1">
      <alignment wrapText="1"/>
    </xf>
    <xf numFmtId="167" fontId="0" fillId="0" borderId="0" xfId="1" applyNumberFormat="1" applyFont="1"/>
    <xf numFmtId="0" fontId="7" fillId="0" borderId="0" xfId="0" applyFont="1" applyAlignment="1">
      <alignment wrapText="1"/>
    </xf>
    <xf numFmtId="166" fontId="0" fillId="0" borderId="0" xfId="2" applyNumberFormat="1" applyFont="1"/>
    <xf numFmtId="166" fontId="0" fillId="0" borderId="0" xfId="2" applyNumberFormat="1" applyFont="1" applyAlignment="1">
      <alignment wrapText="1"/>
    </xf>
    <xf numFmtId="166" fontId="0" fillId="0" borderId="0" xfId="0" applyNumberFormat="1" applyAlignment="1">
      <alignment wrapText="1"/>
    </xf>
    <xf numFmtId="167" fontId="0" fillId="0" borderId="0" xfId="0" applyNumberFormat="1"/>
    <xf numFmtId="167" fontId="0" fillId="0" borderId="0" xfId="0" applyNumberFormat="1" applyAlignment="1">
      <alignment wrapText="1"/>
    </xf>
    <xf numFmtId="168" fontId="0" fillId="0" borderId="0" xfId="1" applyNumberFormat="1" applyFont="1"/>
    <xf numFmtId="1" fontId="0" fillId="0" borderId="0" xfId="0" applyNumberFormat="1" applyAlignment="1">
      <alignment wrapText="1"/>
    </xf>
  </cellXfs>
  <cellStyles count="3">
    <cellStyle name="Currency" xfId="2" builtinId="4"/>
    <cellStyle name="Normal" xfId="0" builtinId="0"/>
    <cellStyle name="Percent" xfId="1" builtinId="5"/>
  </cellStyles>
  <dxfs count="9">
    <dxf>
      <font>
        <color theme="9"/>
      </font>
    </dxf>
    <dxf>
      <font>
        <color rgb="FFFF0000"/>
      </font>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ike/Documents/Inflation%20Factors.csv" TargetMode="External"/><Relationship Id="rId1" Type="http://schemas.openxmlformats.org/officeDocument/2006/relationships/externalLinkPath" Target="Inflation%20Factor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lation Factors"/>
    </sheetNames>
    <sheetDataSet>
      <sheetData sheetId="0">
        <row r="2">
          <cell r="B2">
            <v>0.125</v>
          </cell>
          <cell r="C2">
            <v>46127</v>
          </cell>
          <cell r="H2">
            <v>1.23729</v>
          </cell>
        </row>
        <row r="3">
          <cell r="B3">
            <v>0.125</v>
          </cell>
          <cell r="C3">
            <v>46218</v>
          </cell>
          <cell r="H3">
            <v>1.35368</v>
          </cell>
        </row>
        <row r="4">
          <cell r="B4">
            <v>0.125</v>
          </cell>
          <cell r="C4">
            <v>46310</v>
          </cell>
          <cell r="H4">
            <v>1.1874499999999999</v>
          </cell>
        </row>
        <row r="5">
          <cell r="B5">
            <v>2.375</v>
          </cell>
          <cell r="C5">
            <v>46402</v>
          </cell>
          <cell r="H5">
            <v>1.609</v>
          </cell>
        </row>
        <row r="6">
          <cell r="B6">
            <v>0.375</v>
          </cell>
          <cell r="C6">
            <v>46402</v>
          </cell>
          <cell r="H6">
            <v>1.34327</v>
          </cell>
        </row>
        <row r="7">
          <cell r="B7">
            <v>0.125</v>
          </cell>
          <cell r="C7">
            <v>46492</v>
          </cell>
          <cell r="H7">
            <v>1.1492199999999999</v>
          </cell>
        </row>
        <row r="8">
          <cell r="B8">
            <v>0.375</v>
          </cell>
          <cell r="C8">
            <v>46583</v>
          </cell>
          <cell r="H8">
            <v>1.32647</v>
          </cell>
        </row>
        <row r="9">
          <cell r="B9">
            <v>1.625</v>
          </cell>
          <cell r="C9">
            <v>46675</v>
          </cell>
          <cell r="H9">
            <v>1.09537</v>
          </cell>
        </row>
        <row r="10">
          <cell r="B10">
            <v>1.75</v>
          </cell>
          <cell r="C10">
            <v>46767</v>
          </cell>
          <cell r="H10">
            <v>1.5488500000000001</v>
          </cell>
        </row>
        <row r="11">
          <cell r="B11">
            <v>0.5</v>
          </cell>
          <cell r="C11">
            <v>46767</v>
          </cell>
          <cell r="H11">
            <v>1.3154600000000001</v>
          </cell>
        </row>
        <row r="12">
          <cell r="B12">
            <v>3.625</v>
          </cell>
          <cell r="C12">
            <v>46858</v>
          </cell>
          <cell r="H12">
            <v>2.0061800000000001</v>
          </cell>
        </row>
        <row r="13">
          <cell r="B13">
            <v>1.25</v>
          </cell>
          <cell r="C13">
            <v>46858</v>
          </cell>
          <cell r="H13">
            <v>1.08178</v>
          </cell>
        </row>
        <row r="14">
          <cell r="B14">
            <v>0.75</v>
          </cell>
          <cell r="C14">
            <v>46949</v>
          </cell>
          <cell r="H14">
            <v>1.2926599999999999</v>
          </cell>
        </row>
        <row r="15">
          <cell r="B15">
            <v>2.375</v>
          </cell>
          <cell r="C15">
            <v>47041</v>
          </cell>
          <cell r="H15">
            <v>1.0593699999999999</v>
          </cell>
        </row>
        <row r="16">
          <cell r="B16">
            <v>2.5</v>
          </cell>
          <cell r="C16">
            <v>47133</v>
          </cell>
          <cell r="H16">
            <v>1.51132</v>
          </cell>
        </row>
        <row r="17">
          <cell r="B17">
            <v>0.875</v>
          </cell>
          <cell r="C17">
            <v>47133</v>
          </cell>
          <cell r="H17">
            <v>1.28505</v>
          </cell>
        </row>
        <row r="18">
          <cell r="B18">
            <v>3.875</v>
          </cell>
          <cell r="C18">
            <v>47223</v>
          </cell>
          <cell r="H18">
            <v>1.9738</v>
          </cell>
        </row>
        <row r="19">
          <cell r="B19">
            <v>2.125</v>
          </cell>
          <cell r="C19">
            <v>47223</v>
          </cell>
          <cell r="H19">
            <v>1.04905</v>
          </cell>
        </row>
        <row r="20">
          <cell r="B20">
            <v>0.25</v>
          </cell>
          <cell r="C20">
            <v>47314</v>
          </cell>
          <cell r="H20">
            <v>1.2685200000000001</v>
          </cell>
        </row>
        <row r="21">
          <cell r="B21">
            <v>1.625</v>
          </cell>
          <cell r="C21">
            <v>47406</v>
          </cell>
          <cell r="H21">
            <v>1.03122</v>
          </cell>
        </row>
        <row r="22">
          <cell r="B22">
            <v>0.125</v>
          </cell>
          <cell r="C22">
            <v>47498</v>
          </cell>
          <cell r="H22">
            <v>1.2611699999999999</v>
          </cell>
        </row>
        <row r="23">
          <cell r="B23">
            <v>1.625</v>
          </cell>
          <cell r="C23">
            <v>47588</v>
          </cell>
          <cell r="H23">
            <v>1.01932</v>
          </cell>
        </row>
        <row r="24">
          <cell r="B24">
            <v>0.125</v>
          </cell>
          <cell r="C24">
            <v>47679</v>
          </cell>
          <cell r="H24">
            <v>1.26556</v>
          </cell>
        </row>
        <row r="25">
          <cell r="B25">
            <v>1.125</v>
          </cell>
          <cell r="C25">
            <v>47771</v>
          </cell>
          <cell r="H25">
            <v>1.0031300000000001</v>
          </cell>
        </row>
        <row r="26">
          <cell r="B26">
            <v>0.125</v>
          </cell>
          <cell r="C26">
            <v>47863</v>
          </cell>
          <cell r="H26">
            <v>1.24648</v>
          </cell>
        </row>
        <row r="27">
          <cell r="B27">
            <v>0.125</v>
          </cell>
          <cell r="C27">
            <v>48044</v>
          </cell>
          <cell r="H27">
            <v>1.21065</v>
          </cell>
        </row>
        <row r="28">
          <cell r="B28">
            <v>0.125</v>
          </cell>
          <cell r="C28">
            <v>48228</v>
          </cell>
          <cell r="H28">
            <v>1.17055</v>
          </cell>
        </row>
        <row r="29">
          <cell r="B29">
            <v>3.375</v>
          </cell>
          <cell r="C29">
            <v>48319</v>
          </cell>
          <cell r="H29">
            <v>1.82805</v>
          </cell>
        </row>
        <row r="30">
          <cell r="B30">
            <v>0.625</v>
          </cell>
          <cell r="C30">
            <v>48410</v>
          </cell>
          <cell r="H30">
            <v>1.1167800000000001</v>
          </cell>
        </row>
        <row r="31">
          <cell r="B31">
            <v>1.125</v>
          </cell>
          <cell r="C31">
            <v>48594</v>
          </cell>
          <cell r="H31">
            <v>1.08931</v>
          </cell>
        </row>
        <row r="32">
          <cell r="B32">
            <v>1.375</v>
          </cell>
          <cell r="C32">
            <v>48775</v>
          </cell>
          <cell r="H32">
            <v>1.06839</v>
          </cell>
        </row>
        <row r="33">
          <cell r="B33">
            <v>1.75</v>
          </cell>
          <cell r="C33">
            <v>48959</v>
          </cell>
          <cell r="H33">
            <v>1.05559</v>
          </cell>
        </row>
        <row r="34">
          <cell r="B34">
            <v>1.875</v>
          </cell>
          <cell r="C34">
            <v>49140</v>
          </cell>
          <cell r="H34">
            <v>1.03409</v>
          </cell>
        </row>
        <row r="35">
          <cell r="B35">
            <v>2.125</v>
          </cell>
          <cell r="C35">
            <v>49324</v>
          </cell>
          <cell r="H35">
            <v>1.0281800000000001</v>
          </cell>
        </row>
        <row r="36">
          <cell r="B36">
            <v>1.875</v>
          </cell>
          <cell r="C36">
            <v>49505</v>
          </cell>
          <cell r="H36">
            <v>1.0105299999999999</v>
          </cell>
        </row>
        <row r="37">
          <cell r="B37">
            <v>1.875</v>
          </cell>
          <cell r="C37">
            <v>49689</v>
          </cell>
          <cell r="H37">
            <v>0.99860000000000004</v>
          </cell>
        </row>
        <row r="38">
          <cell r="B38">
            <v>2.125</v>
          </cell>
          <cell r="C38">
            <v>51181</v>
          </cell>
          <cell r="H38">
            <v>1.50125</v>
          </cell>
        </row>
        <row r="39">
          <cell r="B39">
            <v>2.125</v>
          </cell>
          <cell r="C39">
            <v>51547</v>
          </cell>
          <cell r="H39">
            <v>1.4817</v>
          </cell>
        </row>
        <row r="40">
          <cell r="B40">
            <v>0.75</v>
          </cell>
          <cell r="C40">
            <v>51912</v>
          </cell>
          <cell r="H40">
            <v>1.4359999999999999</v>
          </cell>
        </row>
        <row r="41">
          <cell r="B41">
            <v>0.625</v>
          </cell>
          <cell r="C41">
            <v>52277</v>
          </cell>
          <cell r="H41">
            <v>1.4113199999999999</v>
          </cell>
        </row>
        <row r="42">
          <cell r="B42">
            <v>1.375</v>
          </cell>
          <cell r="C42">
            <v>52642</v>
          </cell>
          <cell r="H42">
            <v>1.3922600000000001</v>
          </cell>
        </row>
        <row r="43">
          <cell r="B43">
            <v>0.75</v>
          </cell>
          <cell r="C43">
            <v>53008</v>
          </cell>
          <cell r="H43">
            <v>1.3779399999999999</v>
          </cell>
        </row>
        <row r="44">
          <cell r="B44">
            <v>1</v>
          </cell>
          <cell r="C44">
            <v>53373</v>
          </cell>
          <cell r="H44">
            <v>1.3694299999999999</v>
          </cell>
        </row>
        <row r="45">
          <cell r="B45">
            <v>0.875</v>
          </cell>
          <cell r="C45">
            <v>53738</v>
          </cell>
          <cell r="H45">
            <v>1.3442000000000001</v>
          </cell>
        </row>
        <row r="46">
          <cell r="B46">
            <v>1</v>
          </cell>
          <cell r="C46">
            <v>54103</v>
          </cell>
          <cell r="H46">
            <v>1.3158300000000001</v>
          </cell>
        </row>
        <row r="47">
          <cell r="B47">
            <v>1</v>
          </cell>
          <cell r="C47">
            <v>54469</v>
          </cell>
          <cell r="H47">
            <v>1.28948</v>
          </cell>
        </row>
        <row r="48">
          <cell r="B48">
            <v>0.25</v>
          </cell>
          <cell r="C48">
            <v>54834</v>
          </cell>
          <cell r="H48">
            <v>1.2621</v>
          </cell>
        </row>
        <row r="49">
          <cell r="B49">
            <v>0.125</v>
          </cell>
          <cell r="C49">
            <v>55199</v>
          </cell>
          <cell r="H49">
            <v>1.24631</v>
          </cell>
        </row>
        <row r="50">
          <cell r="B50">
            <v>0.125</v>
          </cell>
          <cell r="C50">
            <v>55564</v>
          </cell>
          <cell r="H50">
            <v>1.1656200000000001</v>
          </cell>
        </row>
        <row r="51">
          <cell r="B51">
            <v>1.5</v>
          </cell>
          <cell r="C51">
            <v>55930</v>
          </cell>
          <cell r="H51">
            <v>1.0915900000000001</v>
          </cell>
        </row>
        <row r="52">
          <cell r="B52">
            <v>2.125</v>
          </cell>
          <cell r="C52">
            <v>56295</v>
          </cell>
          <cell r="H52">
            <v>1.0572699999999999</v>
          </cell>
        </row>
        <row r="53">
          <cell r="B53">
            <v>2.375</v>
          </cell>
          <cell r="C53">
            <v>56660</v>
          </cell>
          <cell r="H53">
            <v>1.0283</v>
          </cell>
        </row>
        <row r="54">
          <cell r="B54">
            <v>2.375</v>
          </cell>
          <cell r="C54">
            <v>57025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8F33A-8DC2-454F-8FBF-AD9F6688A7ED}" name="Fidelity_FixedIncome_SearchResults" displayName="Fidelity_FixedIncome_SearchResults" ref="A1:P1048576" totalsRowShown="0">
  <autoFilter ref="A1:P1048576" xr:uid="{6D98F33A-8DC2-454F-8FBF-AD9F6688A7ED}"/>
  <tableColumns count="16">
    <tableColumn id="1" xr3:uid="{90925FF3-C6CD-0644-8B0A-16E93D1F485D}" name="Cusip" dataDxfId="8"/>
    <tableColumn id="2" xr3:uid="{544524C1-BBEB-3B4E-95CF-57FF1B8CF34F}" name="State" dataDxfId="7"/>
    <tableColumn id="3" xr3:uid="{A9D1908A-0931-B047-AFA7-6C96FFF64C5F}" name="Description" dataDxfId="6"/>
    <tableColumn id="4" xr3:uid="{AB29E530-5B31-4D45-8E0F-B52BC7620EC6}" name="Coupon"/>
    <tableColumn id="5" xr3:uid="{4145E021-0E47-2543-9426-3C8814EED7FA}" name="Maturity Date" dataDxfId="5"/>
    <tableColumn id="6" xr3:uid="{5A6550E4-3F6F-8D41-BFE5-9643EF051596}" name="Moody's Rating" dataDxfId="4"/>
    <tableColumn id="7" xr3:uid="{274FF288-4571-414E-B78F-4406081B54F0}" name="S&amp;P Rating" dataDxfId="3"/>
    <tableColumn id="8" xr3:uid="{BA843ED8-2475-0B49-AB0D-394061F6DE66}" name="Price Bid"/>
    <tableColumn id="9" xr3:uid="{2C898615-0F84-3745-8764-1E362705B03B}" name="Price Ask"/>
    <tableColumn id="10" xr3:uid="{75297ACA-E470-4043-9CE6-9D412BDAF781}" name="Yield Bid"/>
    <tableColumn id="11" xr3:uid="{D10C3455-8127-6345-A822-ACF5FF5E5A0A}" name="Ask Yield to Worst"/>
    <tableColumn id="12" xr3:uid="{B6A0D0EA-FDB6-AF45-9F27-70EC5FE278BD}" name="Ask Yield to Maturity"/>
    <tableColumn id="13" xr3:uid="{D425B617-28EB-F247-9C6D-8166916FF993}" name="Inflation Factor"/>
    <tableColumn id="14" xr3:uid="{753B79FF-417F-C14A-B4F7-6BCD3FAAC0A7}" name="Adjusted Price Bid"/>
    <tableColumn id="15" xr3:uid="{4DA62DAB-0D99-CE44-B7B3-2A8159203D20}" name="Adjusted Price Ask"/>
    <tableColumn id="16" xr3:uid="{27F72FE8-7869-4B45-9B19-DDFD991FD673}" name="Attributes" dataDxfId="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AE8A-F063-084C-AD4B-380867D38AFF}">
  <dimension ref="A1:FK18"/>
  <sheetViews>
    <sheetView topLeftCell="A4" zoomScale="101" workbookViewId="0">
      <pane xSplit="1" topLeftCell="R1" activePane="topRight" state="frozen"/>
      <selection pane="topRight" activeCell="D5" sqref="D5"/>
    </sheetView>
  </sheetViews>
  <sheetFormatPr baseColWidth="10" defaultRowHeight="16" x14ac:dyDescent="0.2"/>
  <cols>
    <col min="1" max="1" width="110.1640625" customWidth="1"/>
    <col min="2" max="2" width="15.33203125" customWidth="1"/>
    <col min="3" max="3" width="12.6640625" bestFit="1" customWidth="1"/>
    <col min="4" max="4" width="11.1640625" bestFit="1" customWidth="1"/>
  </cols>
  <sheetData>
    <row r="1" spans="1:167" ht="21" x14ac:dyDescent="0.25">
      <c r="A1" s="5" t="s">
        <v>32</v>
      </c>
      <c r="B1" s="4">
        <v>46024</v>
      </c>
      <c r="C1" s="4"/>
      <c r="D1" s="4"/>
      <c r="E1" s="4"/>
      <c r="F1" s="4"/>
      <c r="G1" s="4"/>
      <c r="H1" s="4"/>
      <c r="I1" s="4"/>
      <c r="J1" s="4"/>
      <c r="K1" s="4"/>
      <c r="L1" s="4"/>
      <c r="M1" s="4"/>
    </row>
    <row r="2" spans="1:167" ht="88" x14ac:dyDescent="0.25">
      <c r="A2" s="6" t="s">
        <v>38</v>
      </c>
      <c r="B2" s="13">
        <v>2028</v>
      </c>
      <c r="C2" s="13">
        <v>2066</v>
      </c>
    </row>
    <row r="3" spans="1:167" ht="66" x14ac:dyDescent="0.25">
      <c r="A3" s="7" t="s">
        <v>113</v>
      </c>
      <c r="B3" s="8">
        <v>37000</v>
      </c>
    </row>
    <row r="4" spans="1:167" ht="66" x14ac:dyDescent="0.25">
      <c r="A4" s="7" t="s">
        <v>33</v>
      </c>
      <c r="B4">
        <v>2033</v>
      </c>
      <c r="C4">
        <v>2040</v>
      </c>
    </row>
    <row r="5" spans="1:167" ht="88" x14ac:dyDescent="0.25">
      <c r="A5" s="7" t="s">
        <v>56</v>
      </c>
      <c r="B5" s="8">
        <v>37000</v>
      </c>
      <c r="C5" s="8">
        <v>148000</v>
      </c>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row>
    <row r="6" spans="1:167" ht="44" x14ac:dyDescent="0.25">
      <c r="A6" s="7" t="s">
        <v>37</v>
      </c>
    </row>
    <row r="7" spans="1:167" ht="100" x14ac:dyDescent="0.25">
      <c r="A7" s="9" t="s">
        <v>36</v>
      </c>
      <c r="B7" s="1"/>
      <c r="C7" s="4"/>
      <c r="D7" s="4"/>
      <c r="E7" s="4">
        <v>46767</v>
      </c>
      <c r="F7" s="4">
        <v>47133</v>
      </c>
      <c r="G7" s="4">
        <v>47498</v>
      </c>
      <c r="H7" s="4">
        <v>47863</v>
      </c>
      <c r="I7" s="4">
        <v>48319</v>
      </c>
      <c r="J7" s="4">
        <v>48594</v>
      </c>
      <c r="K7" s="4">
        <v>48959</v>
      </c>
      <c r="L7" s="4">
        <v>49324</v>
      </c>
      <c r="M7" s="4">
        <v>49689</v>
      </c>
      <c r="N7" s="4">
        <v>51181</v>
      </c>
      <c r="O7" s="4">
        <v>51547</v>
      </c>
      <c r="P7" s="4">
        <v>51912</v>
      </c>
      <c r="Q7" s="4">
        <v>52277</v>
      </c>
      <c r="R7" s="4">
        <v>52642</v>
      </c>
      <c r="S7" s="4">
        <v>53008</v>
      </c>
      <c r="T7" s="4">
        <v>53373</v>
      </c>
      <c r="U7" s="4">
        <v>53738</v>
      </c>
      <c r="V7" s="4">
        <v>54103</v>
      </c>
      <c r="W7" s="4">
        <v>54469</v>
      </c>
      <c r="X7" s="4">
        <v>54834</v>
      </c>
      <c r="Y7" s="4">
        <v>55199</v>
      </c>
      <c r="Z7" s="4">
        <v>55564</v>
      </c>
      <c r="AA7" s="4">
        <v>55930</v>
      </c>
      <c r="AB7" s="4">
        <v>56295</v>
      </c>
      <c r="AC7" s="4">
        <v>56660</v>
      </c>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row>
    <row r="8" spans="1:167" ht="20" x14ac:dyDescent="0.25">
      <c r="A8" s="9" t="s">
        <v>34</v>
      </c>
      <c r="B8" s="15"/>
      <c r="C8" s="15"/>
      <c r="D8" s="15"/>
      <c r="E8" s="15">
        <v>5.0000000000000001E-3</v>
      </c>
      <c r="F8" s="15">
        <v>2.5000000000000001E-2</v>
      </c>
      <c r="G8" s="15">
        <v>1.25E-3</v>
      </c>
      <c r="H8" s="15">
        <v>1.25E-3</v>
      </c>
      <c r="I8" s="15">
        <v>3.3750000000000002E-2</v>
      </c>
      <c r="J8" s="15">
        <v>1.125E-2</v>
      </c>
      <c r="K8" s="15">
        <v>1.7500000000000002E-2</v>
      </c>
      <c r="L8" s="15">
        <v>2.1250000000000002E-2</v>
      </c>
      <c r="M8" s="15">
        <v>1.8749999999999999E-2</v>
      </c>
      <c r="N8" s="15">
        <v>2.1250000000000002E-2</v>
      </c>
      <c r="O8" s="15">
        <v>2.1250000000000002E-2</v>
      </c>
      <c r="P8" s="15">
        <v>7.4999999999999997E-3</v>
      </c>
      <c r="Q8" s="15">
        <v>6.2500000000000003E-3</v>
      </c>
      <c r="R8" s="15">
        <v>1.375E-2</v>
      </c>
      <c r="S8" s="15">
        <v>7.4999999999999997E-3</v>
      </c>
      <c r="T8" s="15">
        <v>0.01</v>
      </c>
      <c r="U8" s="15">
        <v>8.7500000000000008E-3</v>
      </c>
      <c r="V8" s="15">
        <v>0.01</v>
      </c>
      <c r="W8" s="15">
        <v>0.01</v>
      </c>
      <c r="X8" s="15">
        <v>2.5000000000000001E-3</v>
      </c>
      <c r="Y8" s="15">
        <v>1.25E-3</v>
      </c>
      <c r="Z8" s="15">
        <v>1.25E-3</v>
      </c>
      <c r="AA8" s="15">
        <v>1.4999999999999999E-2</v>
      </c>
      <c r="AB8" s="15">
        <v>2.1250000000000002E-2</v>
      </c>
      <c r="AC8" s="15">
        <v>2.375E-2</v>
      </c>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0"/>
      <c r="CO8" s="10"/>
      <c r="CP8" s="10"/>
      <c r="CQ8" s="10"/>
      <c r="CR8" s="10"/>
      <c r="CS8" s="10"/>
      <c r="CT8" s="10"/>
      <c r="CU8" s="10"/>
      <c r="CV8" s="10"/>
      <c r="CW8" s="10"/>
      <c r="CX8" s="10"/>
      <c r="CY8" s="10"/>
      <c r="CZ8" s="10"/>
    </row>
    <row r="9" spans="1:167" ht="40" x14ac:dyDescent="0.25">
      <c r="A9" s="9" t="s">
        <v>49</v>
      </c>
      <c r="E9">
        <v>25</v>
      </c>
      <c r="F9">
        <v>22</v>
      </c>
      <c r="G9">
        <v>26</v>
      </c>
      <c r="H9">
        <v>0</v>
      </c>
      <c r="I9">
        <v>15</v>
      </c>
      <c r="J9">
        <v>19</v>
      </c>
      <c r="N9">
        <v>0</v>
      </c>
      <c r="O9">
        <v>0</v>
      </c>
      <c r="P9">
        <v>9</v>
      </c>
      <c r="Q9">
        <v>15</v>
      </c>
      <c r="R9">
        <v>15</v>
      </c>
      <c r="T9">
        <v>8</v>
      </c>
      <c r="U9">
        <v>8</v>
      </c>
      <c r="V9">
        <v>8</v>
      </c>
      <c r="W9">
        <v>8</v>
      </c>
      <c r="X9">
        <v>4</v>
      </c>
      <c r="Y9">
        <v>18</v>
      </c>
      <c r="Z9">
        <v>19</v>
      </c>
      <c r="AB9">
        <v>11</v>
      </c>
      <c r="AC9">
        <v>33</v>
      </c>
    </row>
    <row r="10" spans="1:167" ht="40" x14ac:dyDescent="0.25">
      <c r="A10" s="9" t="s">
        <v>48</v>
      </c>
      <c r="H10">
        <v>10</v>
      </c>
      <c r="J10">
        <v>24</v>
      </c>
      <c r="L10">
        <v>33</v>
      </c>
      <c r="M10">
        <v>39</v>
      </c>
      <c r="N10">
        <v>131</v>
      </c>
      <c r="O10">
        <v>30</v>
      </c>
      <c r="P10">
        <v>20</v>
      </c>
      <c r="Q10">
        <v>13</v>
      </c>
      <c r="R10">
        <v>13</v>
      </c>
      <c r="S10">
        <v>33</v>
      </c>
      <c r="T10">
        <v>24</v>
      </c>
      <c r="U10">
        <v>24</v>
      </c>
      <c r="V10">
        <v>25</v>
      </c>
      <c r="W10">
        <v>25</v>
      </c>
      <c r="X10">
        <v>32</v>
      </c>
      <c r="Y10">
        <v>15</v>
      </c>
      <c r="Z10">
        <v>16</v>
      </c>
      <c r="AA10">
        <v>14</v>
      </c>
      <c r="AC10">
        <v>2</v>
      </c>
    </row>
    <row r="11" spans="1:167" ht="40" x14ac:dyDescent="0.25">
      <c r="A11" s="9" t="s">
        <v>50</v>
      </c>
      <c r="H11">
        <v>18</v>
      </c>
      <c r="K11">
        <v>34</v>
      </c>
      <c r="AA11">
        <v>22</v>
      </c>
      <c r="AB11">
        <v>23</v>
      </c>
    </row>
    <row r="12" spans="1:167" ht="132" x14ac:dyDescent="0.25">
      <c r="A12" s="7" t="s">
        <v>57</v>
      </c>
      <c r="B12" s="22">
        <v>0.24</v>
      </c>
    </row>
    <row r="13" spans="1:167" ht="19" x14ac:dyDescent="0.25">
      <c r="A13" s="11"/>
    </row>
    <row r="14" spans="1:167" ht="19" x14ac:dyDescent="0.25">
      <c r="A14" s="9"/>
    </row>
    <row r="15" spans="1:167" ht="19" x14ac:dyDescent="0.25">
      <c r="A15" s="9"/>
    </row>
    <row r="16" spans="1:167" ht="19" x14ac:dyDescent="0.25">
      <c r="A16" s="9"/>
    </row>
    <row r="17" spans="1:1" ht="19" x14ac:dyDescent="0.25">
      <c r="A17" s="9"/>
    </row>
    <row r="18" spans="1:1" ht="19" x14ac:dyDescent="0.25">
      <c r="A18"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DDEC-194C-6440-AB24-3486A701A775}">
  <dimension ref="A1:U88"/>
  <sheetViews>
    <sheetView tabSelected="1" topLeftCell="K1" zoomScale="115" workbookViewId="0">
      <pane ySplit="1" topLeftCell="A11" activePane="bottomLeft" state="frozen"/>
      <selection pane="bottomLeft" activeCell="E28" sqref="E28"/>
    </sheetView>
  </sheetViews>
  <sheetFormatPr baseColWidth="10" defaultRowHeight="16" x14ac:dyDescent="0.2"/>
  <cols>
    <col min="1" max="1" width="12.83203125" style="12" customWidth="1"/>
    <col min="2" max="2" width="15.33203125" style="2" customWidth="1"/>
    <col min="3" max="3" width="19.83203125" style="20" customWidth="1"/>
    <col min="4" max="4" width="27.83203125" customWidth="1"/>
    <col min="5" max="5" width="23.1640625" style="8" customWidth="1"/>
    <col min="6" max="7" width="23.1640625" style="13" customWidth="1"/>
    <col min="8" max="10" width="23.1640625" style="8" customWidth="1"/>
    <col min="11" max="11" width="14.5" customWidth="1"/>
    <col min="12" max="12" width="19.6640625" style="8" customWidth="1"/>
    <col min="13" max="13" width="11.33203125" customWidth="1"/>
    <col min="14" max="14" width="21.83203125" style="8" customWidth="1"/>
    <col min="15" max="15" width="21.83203125" customWidth="1"/>
    <col min="16" max="16" width="45.1640625" customWidth="1"/>
    <col min="17" max="17" width="33" style="8" customWidth="1"/>
    <col min="18" max="18" width="22.5" style="17" customWidth="1"/>
    <col min="19" max="19" width="27.5" style="8" customWidth="1"/>
    <col min="20" max="21" width="20" customWidth="1"/>
    <col min="22" max="22" width="17.6640625" customWidth="1"/>
  </cols>
  <sheetData>
    <row r="1" spans="1:19" ht="119" x14ac:dyDescent="0.2">
      <c r="A1" s="12" t="s">
        <v>28</v>
      </c>
      <c r="B1" s="2" t="s">
        <v>4</v>
      </c>
      <c r="C1" s="20" t="s">
        <v>29</v>
      </c>
      <c r="D1" s="3" t="s">
        <v>43</v>
      </c>
      <c r="E1" s="19" t="s">
        <v>41</v>
      </c>
      <c r="F1" s="23" t="s">
        <v>45</v>
      </c>
      <c r="G1" s="23" t="s">
        <v>51</v>
      </c>
      <c r="H1" s="19" t="s">
        <v>46</v>
      </c>
      <c r="I1" s="19" t="s">
        <v>42</v>
      </c>
      <c r="J1" s="19" t="s">
        <v>44</v>
      </c>
      <c r="K1" s="3" t="s">
        <v>35</v>
      </c>
      <c r="L1" s="19" t="s">
        <v>52</v>
      </c>
      <c r="N1" s="19" t="s">
        <v>53</v>
      </c>
      <c r="O1" s="3"/>
      <c r="P1" t="s">
        <v>30</v>
      </c>
      <c r="Q1" s="19" t="s">
        <v>54</v>
      </c>
      <c r="R1" s="18" t="s">
        <v>40</v>
      </c>
      <c r="S1" s="19" t="s">
        <v>55</v>
      </c>
    </row>
    <row r="2" spans="1:19" ht="187" x14ac:dyDescent="0.2">
      <c r="A2" s="14"/>
      <c r="B2" s="2" t="s">
        <v>31</v>
      </c>
      <c r="C2" s="21" t="s">
        <v>31</v>
      </c>
      <c r="D2" s="16"/>
      <c r="K2" t="s">
        <v>31</v>
      </c>
      <c r="L2" s="19" t="s">
        <v>47</v>
      </c>
      <c r="P2" s="3"/>
      <c r="Q2" s="19"/>
      <c r="R2" s="18"/>
      <c r="S2" s="19" t="s">
        <v>39</v>
      </c>
    </row>
    <row r="3" spans="1:19" x14ac:dyDescent="0.2">
      <c r="O3" s="13"/>
      <c r="P3" s="13" t="str">
        <f>IF(AND(Ladder!A3&gt;='User Input'!B$2, Ladder!A3&lt;='User Input'!C$2),Ladder!A3,"")</f>
        <v/>
      </c>
      <c r="R3" s="17" t="str">
        <f>IF(P3="","",'User Input'!B$3)</f>
        <v/>
      </c>
    </row>
    <row r="4" spans="1:19" x14ac:dyDescent="0.2">
      <c r="A4" s="13">
        <f>IF(OR(TEXT(B3,"YYYY")&lt;TEXT(B4,"YYYY"),ISBLANK(TEXT(B3,"YYYY"))),YEAR(B4),"")</f>
        <v>2026</v>
      </c>
      <c r="B4" s="2">
        <f>'[1]Inflation Factors'!$C2</f>
        <v>46127</v>
      </c>
      <c r="C4" s="20">
        <f>('[1]Inflation Factors'!$B2)/100</f>
        <v>1.25E-3</v>
      </c>
      <c r="D4" t="str" cm="1">
        <f t="array" ref="D4" xml:space="preserve"> IFERROR(INDEX('User Input'!$B$9:$AAD$9, ,_xlfn.XMATCH(B4&amp;C4, 'User Input'!$B$7:$AAD$7&amp;'User Input'!$B$8:$AAD$8)),"")</f>
        <v/>
      </c>
      <c r="E4" s="8" t="str">
        <f>IF(D4="","",D4*1000)</f>
        <v/>
      </c>
      <c r="F4" s="13" t="str" cm="1">
        <f t="array" ref="F4">IFERROR(INDEX('User Input'!$B$10:$AAD$10, ,_xlfn.XMATCH(B4&amp;C4, 'User Input'!$B$7:$AAD$7&amp;'User Input'!$B$8:$AAD$8)),"")</f>
        <v/>
      </c>
      <c r="G4" s="8" t="str">
        <f>IF(F4="","",F4*1000)</f>
        <v/>
      </c>
      <c r="H4" s="8" t="str">
        <f>IF(F4="","",F4*1000*(100%-'User Input'!$B$12))</f>
        <v/>
      </c>
      <c r="I4" s="13" t="str" cm="1">
        <f t="array" ref="I4">IFERROR(INDEX('User Input'!$B$11:$AAD$11, ,_xlfn.XMATCH(B4&amp;C4, 'User Input'!$B$7:$AAD$7&amp;'User Input'!$B$8:$AAD$8)),"")</f>
        <v/>
      </c>
      <c r="J4" s="8" t="str">
        <f>IF(I4="","",I4*1000)</f>
        <v/>
      </c>
      <c r="K4">
        <f>'[1]Inflation Factors'!$H2</f>
        <v>1.23729</v>
      </c>
      <c r="L4" s="8" t="str">
        <f>IF(AND(E4="",G4="",J4=""),"",(E4+G4+J4)*K4)</f>
        <v/>
      </c>
      <c r="N4" s="8" t="str">
        <f>IF(L4="","",(C4*L4*(100%-'User Input'!$B$12))+(C4*J4*K4*'User Input'!$B$12))</f>
        <v/>
      </c>
      <c r="P4" s="13" t="str">
        <f>IF(AND(Ladder!A4&gt;='User Input'!B$2, Ladder!A4&lt;='User Input'!C$2),Ladder!A4,"")</f>
        <v/>
      </c>
      <c r="Q4" s="8" t="str">
        <f>IF(P4="","", SUMIFS($L$4:$L$89, $B$4:$B$89, "&gt;="&amp;DATE(P4,1,1),$B$4:$B$89,"&lt;"&amp;DATE(P4+1,1,1)))</f>
        <v/>
      </c>
      <c r="R4" s="17" t="str" cm="1">
        <f t="array" ref="R4">IF(P4="","",IFERROR(INDEX('User Input'!$B$5:$DD$5,,_xlfn.XMATCH(P4,'User Input'!$B$4:$DD$4)),'User Input'!$B$3))</f>
        <v/>
      </c>
      <c r="S4" s="8" t="str">
        <f>IF(R4="","",(Q4+SUM(N4:N89)-R4))</f>
        <v/>
      </c>
    </row>
    <row r="5" spans="1:19" x14ac:dyDescent="0.2">
      <c r="A5" s="13" t="str">
        <f t="shared" ref="A5:A66" si="0">IF(OR(TEXT(B4,"YYYY")&lt;TEXT(B5,"YYYY"),ISBLANK(TEXT(B4,"YYYY"))),YEAR(B5),"")</f>
        <v/>
      </c>
      <c r="B5" s="2">
        <f>'[1]Inflation Factors'!$C3</f>
        <v>46218</v>
      </c>
      <c r="C5" s="20">
        <f>('[1]Inflation Factors'!$B3)/100</f>
        <v>1.25E-3</v>
      </c>
      <c r="D5" t="str" cm="1">
        <f t="array" ref="D5" xml:space="preserve"> IFERROR(INDEX('User Input'!$B$9:$AAD$9, ,_xlfn.XMATCH(B5&amp;C5, 'User Input'!$B$7:$AAD$7&amp;'User Input'!$B$8:$AAD$8)),"")</f>
        <v/>
      </c>
      <c r="E5" s="8" t="str">
        <f t="shared" ref="E5:E66" si="1">IF(D5="","",D5*1000)</f>
        <v/>
      </c>
      <c r="F5" s="13" t="str" cm="1">
        <f t="array" ref="F5">IFERROR(INDEX('User Input'!$B$10:$AAD$10, ,_xlfn.XMATCH(B5&amp;C5, 'User Input'!$B$7:$AAD$7&amp;'User Input'!$B$8:$AAD$8)),"")</f>
        <v/>
      </c>
      <c r="G5" s="8" t="str">
        <f t="shared" ref="G5:G66" si="2">IF(F5="","",F5*1000)</f>
        <v/>
      </c>
      <c r="H5" s="8" t="str">
        <f>IF(F5="","",F5*1000*(100%-'User Input'!$B$12))</f>
        <v/>
      </c>
      <c r="I5" s="13" t="str" cm="1">
        <f t="array" ref="I5">IFERROR(INDEX('User Input'!$B$11:$AAD$11, ,_xlfn.XMATCH(B5&amp;C5, 'User Input'!$B$7:$AAD$7&amp;'User Input'!$B$8:$AAD$8)),"")</f>
        <v/>
      </c>
      <c r="J5" s="8" t="str">
        <f t="shared" ref="J5:J68" si="3">IF(I5="","",I5*1000)</f>
        <v/>
      </c>
      <c r="K5">
        <f>'[1]Inflation Factors'!$H3</f>
        <v>1.35368</v>
      </c>
      <c r="L5" s="8" t="str">
        <f t="shared" ref="L5:L66" si="4">IF(AND(E5="",G5="",J5=""),"",(E5+G5+J5)*K5)</f>
        <v/>
      </c>
      <c r="N5" s="8" t="str">
        <f>IF(L5="","",(C5*L5*(100%-'User Input'!$B$12))+(C5*J5*K5*'User Input'!$B$12))</f>
        <v/>
      </c>
      <c r="P5" s="13" t="str">
        <f>IF(AND(Ladder!A5&gt;='User Input'!B$2, Ladder!A5&lt;='User Input'!C$2),Ladder!A5,"")</f>
        <v/>
      </c>
      <c r="Q5" s="8" t="str">
        <f t="shared" ref="Q5:Q66" si="5">IF(P5="","", SUMIFS($L$4:$L$89, $B$4:$B$89, "&gt;="&amp;DATE(P5,1,1),$B$4:$B$89,"&lt;"&amp;DATE(P5+1,1,1)))</f>
        <v/>
      </c>
      <c r="R5" s="17" t="str" cm="1">
        <f t="array" ref="R5">IF(P5="","",IFERROR(INDEX('User Input'!$B$5:$DD$5,,_xlfn.XMATCH(P5,'User Input'!$B$4:$DD$4)),'User Input'!$B$3))</f>
        <v/>
      </c>
      <c r="S5" s="8" t="str">
        <f t="shared" ref="S5:S66" si="6">IF(R5="","",(Q5+SUM(N5:N90)-R5))</f>
        <v/>
      </c>
    </row>
    <row r="6" spans="1:19" x14ac:dyDescent="0.2">
      <c r="A6" s="13" t="str">
        <f t="shared" si="0"/>
        <v/>
      </c>
      <c r="B6" s="2">
        <f>'[1]Inflation Factors'!$C4</f>
        <v>46310</v>
      </c>
      <c r="C6" s="20">
        <f>('[1]Inflation Factors'!$B4)/100</f>
        <v>1.25E-3</v>
      </c>
      <c r="D6" t="str" cm="1">
        <f t="array" ref="D6" xml:space="preserve"> IFERROR(INDEX('User Input'!$B$9:$AAD$9, ,_xlfn.XMATCH(B6&amp;C6, 'User Input'!$B$7:$AAD$7&amp;'User Input'!$B$8:$AAD$8)),"")</f>
        <v/>
      </c>
      <c r="E6" s="8" t="str">
        <f t="shared" si="1"/>
        <v/>
      </c>
      <c r="F6" s="13" t="str" cm="1">
        <f t="array" ref="F6">IFERROR(INDEX('User Input'!$B$10:$AAD$10, ,_xlfn.XMATCH(B6&amp;C6, 'User Input'!$B$7:$AAD$7&amp;'User Input'!$B$8:$AAD$8)),"")</f>
        <v/>
      </c>
      <c r="G6" s="8" t="str">
        <f t="shared" si="2"/>
        <v/>
      </c>
      <c r="H6" s="8" t="str">
        <f>IF(F6="","",F6*1000*(100%-'User Input'!$B$12))</f>
        <v/>
      </c>
      <c r="I6" s="13" t="str" cm="1">
        <f t="array" ref="I6">IFERROR(INDEX('User Input'!$B$11:$AAD$11, ,_xlfn.XMATCH(B6&amp;C6, 'User Input'!$B$7:$AAD$7&amp;'User Input'!$B$8:$AAD$8)),"")</f>
        <v/>
      </c>
      <c r="J6" s="8" t="str">
        <f t="shared" si="3"/>
        <v/>
      </c>
      <c r="K6">
        <f>'[1]Inflation Factors'!$H4</f>
        <v>1.1874499999999999</v>
      </c>
      <c r="L6" s="8" t="str">
        <f t="shared" si="4"/>
        <v/>
      </c>
      <c r="N6" s="8" t="str">
        <f>IF(L6="","",(C6*L6*(100%-'User Input'!$B$12))+(C6*J6*K6*'User Input'!$B$12))</f>
        <v/>
      </c>
      <c r="P6" s="13" t="str">
        <f>IF(AND(Ladder!A6&gt;='User Input'!B$2, Ladder!A6&lt;='User Input'!C$2),Ladder!A6,"")</f>
        <v/>
      </c>
      <c r="Q6" s="8" t="str">
        <f t="shared" si="5"/>
        <v/>
      </c>
      <c r="R6" s="17" t="str" cm="1">
        <f t="array" ref="R6">IF(P6="","",IFERROR(INDEX('User Input'!$B$5:$DD$5,,_xlfn.XMATCH(P6,'User Input'!$B$4:$DD$4)),'User Input'!$B$3))</f>
        <v/>
      </c>
      <c r="S6" s="8" t="str">
        <f t="shared" si="6"/>
        <v/>
      </c>
    </row>
    <row r="7" spans="1:19" x14ac:dyDescent="0.2">
      <c r="A7" s="13">
        <f t="shared" si="0"/>
        <v>2027</v>
      </c>
      <c r="B7" s="2">
        <f>'[1]Inflation Factors'!$C5</f>
        <v>46402</v>
      </c>
      <c r="C7" s="20">
        <f>('[1]Inflation Factors'!$B5)/100</f>
        <v>2.375E-2</v>
      </c>
      <c r="D7" t="str" cm="1">
        <f t="array" ref="D7" xml:space="preserve"> IFERROR(INDEX('User Input'!$B$9:$AAD$9, ,_xlfn.XMATCH(B7&amp;C7, 'User Input'!$B$7:$AAD$7&amp;'User Input'!$B$8:$AAD$8)),"")</f>
        <v/>
      </c>
      <c r="E7" s="8" t="str">
        <f t="shared" si="1"/>
        <v/>
      </c>
      <c r="F7" s="13" t="str" cm="1">
        <f t="array" ref="F7">IFERROR(INDEX('User Input'!$B$10:$AAD$10, ,_xlfn.XMATCH(B7&amp;C7, 'User Input'!$B$7:$AAD$7&amp;'User Input'!$B$8:$AAD$8)),"")</f>
        <v/>
      </c>
      <c r="G7" s="8" t="str">
        <f t="shared" si="2"/>
        <v/>
      </c>
      <c r="H7" s="8" t="str">
        <f>IF(F7="","",F7*1000*(100%-'User Input'!$B$12))</f>
        <v/>
      </c>
      <c r="I7" s="13" t="str" cm="1">
        <f t="array" ref="I7">IFERROR(INDEX('User Input'!$B$11:$AAD$11, ,_xlfn.XMATCH(B7&amp;C7, 'User Input'!$B$7:$AAD$7&amp;'User Input'!$B$8:$AAD$8)),"")</f>
        <v/>
      </c>
      <c r="J7" s="8" t="str">
        <f t="shared" si="3"/>
        <v/>
      </c>
      <c r="K7">
        <f>'[1]Inflation Factors'!$H5</f>
        <v>1.609</v>
      </c>
      <c r="L7" s="8" t="str">
        <f t="shared" si="4"/>
        <v/>
      </c>
      <c r="N7" s="8" t="str">
        <f>IF(L7="","",(C7*L7*(100%-'User Input'!$B$12))+(C7*J7*K7*'User Input'!$B$12))</f>
        <v/>
      </c>
      <c r="P7" s="13" t="str">
        <f>IF(AND(Ladder!A7&gt;='User Input'!B$2, Ladder!A7&lt;='User Input'!C$2),Ladder!A7,"")</f>
        <v/>
      </c>
      <c r="Q7" s="8" t="str">
        <f t="shared" si="5"/>
        <v/>
      </c>
      <c r="R7" s="17" t="str" cm="1">
        <f t="array" ref="R7">IF(P7="","",IFERROR(INDEX('User Input'!$B$5:$DD$5,,_xlfn.XMATCH(P7,'User Input'!$B$4:$DD$4)),'User Input'!$B$3))</f>
        <v/>
      </c>
      <c r="S7" s="8" t="str">
        <f t="shared" si="6"/>
        <v/>
      </c>
    </row>
    <row r="8" spans="1:19" x14ac:dyDescent="0.2">
      <c r="A8" s="13" t="str">
        <f t="shared" si="0"/>
        <v/>
      </c>
      <c r="B8" s="2">
        <f>'[1]Inflation Factors'!$C6</f>
        <v>46402</v>
      </c>
      <c r="C8" s="20">
        <f>('[1]Inflation Factors'!$B6)/100</f>
        <v>3.7499999999999999E-3</v>
      </c>
      <c r="D8" t="str" cm="1">
        <f t="array" ref="D8" xml:space="preserve"> IFERROR(INDEX('User Input'!$B$9:$AAD$9, ,_xlfn.XMATCH(B8&amp;C8, 'User Input'!$B$7:$AAD$7&amp;'User Input'!$B$8:$AAD$8)),"")</f>
        <v/>
      </c>
      <c r="E8" s="8" t="str">
        <f t="shared" si="1"/>
        <v/>
      </c>
      <c r="F8" s="13" t="str" cm="1">
        <f t="array" ref="F8">IFERROR(INDEX('User Input'!$B$10:$AAD$10, ,_xlfn.XMATCH(B8&amp;C8, 'User Input'!$B$7:$AAD$7&amp;'User Input'!$B$8:$AAD$8)),"")</f>
        <v/>
      </c>
      <c r="G8" s="8" t="str">
        <f t="shared" si="2"/>
        <v/>
      </c>
      <c r="H8" s="8" t="str">
        <f>IF(F8="","",F8*1000*(100%-'User Input'!$B$12))</f>
        <v/>
      </c>
      <c r="I8" s="13" t="str" cm="1">
        <f t="array" ref="I8">IFERROR(INDEX('User Input'!$B$11:$AAD$11, ,_xlfn.XMATCH(B8&amp;C8, 'User Input'!$B$7:$AAD$7&amp;'User Input'!$B$8:$AAD$8)),"")</f>
        <v/>
      </c>
      <c r="J8" s="8" t="str">
        <f t="shared" si="3"/>
        <v/>
      </c>
      <c r="K8">
        <f>'[1]Inflation Factors'!$H6</f>
        <v>1.34327</v>
      </c>
      <c r="L8" s="8" t="str">
        <f t="shared" si="4"/>
        <v/>
      </c>
      <c r="N8" s="8" t="str">
        <f>IF(L8="","",(C8*L8*(100%-'User Input'!$B$12))+(C8*J8*K8*'User Input'!$B$12))</f>
        <v/>
      </c>
      <c r="P8" s="13" t="str">
        <f>IF(AND(Ladder!A8&gt;='User Input'!B$2, Ladder!A8&lt;='User Input'!C$2),Ladder!A8,"")</f>
        <v/>
      </c>
      <c r="Q8" s="8" t="str">
        <f t="shared" si="5"/>
        <v/>
      </c>
      <c r="R8" s="17" t="str" cm="1">
        <f t="array" ref="R8">IF(P8="","",IFERROR(INDEX('User Input'!$B$5:$DD$5,,_xlfn.XMATCH(P8,'User Input'!$B$4:$DD$4)),'User Input'!$B$3))</f>
        <v/>
      </c>
      <c r="S8" s="8" t="str">
        <f t="shared" si="6"/>
        <v/>
      </c>
    </row>
    <row r="9" spans="1:19" x14ac:dyDescent="0.2">
      <c r="A9" s="13" t="str">
        <f t="shared" si="0"/>
        <v/>
      </c>
      <c r="B9" s="2">
        <f>'[1]Inflation Factors'!$C7</f>
        <v>46492</v>
      </c>
      <c r="C9" s="20">
        <f>('[1]Inflation Factors'!$B7)/100</f>
        <v>1.25E-3</v>
      </c>
      <c r="D9" t="str" cm="1">
        <f t="array" ref="D9" xml:space="preserve"> IFERROR(INDEX('User Input'!$B$9:$AAD$9, ,_xlfn.XMATCH(B9&amp;C9, 'User Input'!$B$7:$AAD$7&amp;'User Input'!$B$8:$AAD$8)),"")</f>
        <v/>
      </c>
      <c r="E9" s="8" t="str">
        <f t="shared" si="1"/>
        <v/>
      </c>
      <c r="F9" s="13" t="str" cm="1">
        <f t="array" ref="F9">IFERROR(INDEX('User Input'!$B$10:$AAD$10, ,_xlfn.XMATCH(B9&amp;C9, 'User Input'!$B$7:$AAD$7&amp;'User Input'!$B$8:$AAD$8)),"")</f>
        <v/>
      </c>
      <c r="G9" s="8" t="str">
        <f t="shared" si="2"/>
        <v/>
      </c>
      <c r="H9" s="8" t="str">
        <f>IF(F9="","",F9*1000*(100%-'User Input'!$B$12))</f>
        <v/>
      </c>
      <c r="I9" s="13" t="str" cm="1">
        <f t="array" ref="I9">IFERROR(INDEX('User Input'!$B$11:$AAD$11, ,_xlfn.XMATCH(B9&amp;C9, 'User Input'!$B$7:$AAD$7&amp;'User Input'!$B$8:$AAD$8)),"")</f>
        <v/>
      </c>
      <c r="J9" s="8" t="str">
        <f t="shared" si="3"/>
        <v/>
      </c>
      <c r="K9">
        <f>'[1]Inflation Factors'!$H7</f>
        <v>1.1492199999999999</v>
      </c>
      <c r="L9" s="8" t="str">
        <f t="shared" si="4"/>
        <v/>
      </c>
      <c r="N9" s="8" t="str">
        <f>IF(L9="","",(C9*L9*(100%-'User Input'!$B$12))+(C9*J9*K9*'User Input'!$B$12))</f>
        <v/>
      </c>
      <c r="P9" s="13" t="str">
        <f>IF(AND(Ladder!A9&gt;='User Input'!B$2, Ladder!A9&lt;='User Input'!C$2),Ladder!A9,"")</f>
        <v/>
      </c>
      <c r="Q9" s="8" t="str">
        <f t="shared" si="5"/>
        <v/>
      </c>
      <c r="R9" s="17" t="str" cm="1">
        <f t="array" ref="R9">IF(P9="","",IFERROR(INDEX('User Input'!$B$5:$DD$5,,_xlfn.XMATCH(P9,'User Input'!$B$4:$DD$4)),'User Input'!$B$3))</f>
        <v/>
      </c>
      <c r="S9" s="8" t="str">
        <f t="shared" si="6"/>
        <v/>
      </c>
    </row>
    <row r="10" spans="1:19" x14ac:dyDescent="0.2">
      <c r="A10" s="13" t="str">
        <f t="shared" si="0"/>
        <v/>
      </c>
      <c r="B10" s="2">
        <f>'[1]Inflation Factors'!$C8</f>
        <v>46583</v>
      </c>
      <c r="C10" s="20">
        <f>('[1]Inflation Factors'!$B8)/100</f>
        <v>3.7499999999999999E-3</v>
      </c>
      <c r="D10" t="str" cm="1">
        <f t="array" ref="D10" xml:space="preserve"> IFERROR(INDEX('User Input'!$B$9:$AAD$9, ,_xlfn.XMATCH(B10&amp;C10, 'User Input'!$B$7:$AAD$7&amp;'User Input'!$B$8:$AAD$8)),"")</f>
        <v/>
      </c>
      <c r="E10" s="8" t="str">
        <f t="shared" si="1"/>
        <v/>
      </c>
      <c r="F10" s="13" t="str" cm="1">
        <f t="array" ref="F10">IFERROR(INDEX('User Input'!$B$10:$AAD$10, ,_xlfn.XMATCH(B10&amp;C10, 'User Input'!$B$7:$AAD$7&amp;'User Input'!$B$8:$AAD$8)),"")</f>
        <v/>
      </c>
      <c r="G10" s="8" t="str">
        <f t="shared" si="2"/>
        <v/>
      </c>
      <c r="H10" s="8" t="str">
        <f>IF(F10="","",F10*1000*(100%-'User Input'!$B$12))</f>
        <v/>
      </c>
      <c r="I10" s="13" t="str" cm="1">
        <f t="array" ref="I10">IFERROR(INDEX('User Input'!$B$11:$AAD$11, ,_xlfn.XMATCH(B10&amp;C10, 'User Input'!$B$7:$AAD$7&amp;'User Input'!$B$8:$AAD$8)),"")</f>
        <v/>
      </c>
      <c r="J10" s="8" t="str">
        <f t="shared" si="3"/>
        <v/>
      </c>
      <c r="K10">
        <f>'[1]Inflation Factors'!$H8</f>
        <v>1.32647</v>
      </c>
      <c r="L10" s="8" t="str">
        <f t="shared" si="4"/>
        <v/>
      </c>
      <c r="N10" s="8" t="str">
        <f>IF(L10="","",(C10*L10*(100%-'User Input'!$B$12))+(C10*J10*K10*'User Input'!$B$12))</f>
        <v/>
      </c>
      <c r="P10" s="13" t="str">
        <f>IF(AND(Ladder!A10&gt;='User Input'!B$2, Ladder!A10&lt;='User Input'!C$2),Ladder!A10,"")</f>
        <v/>
      </c>
      <c r="Q10" s="8" t="str">
        <f t="shared" si="5"/>
        <v/>
      </c>
      <c r="R10" s="17" t="str" cm="1">
        <f t="array" ref="R10">IF(P10="","",IFERROR(INDEX('User Input'!$B$5:$DD$5,,_xlfn.XMATCH(P10,'User Input'!$B$4:$DD$4)),'User Input'!$B$3))</f>
        <v/>
      </c>
      <c r="S10" s="8" t="str">
        <f t="shared" si="6"/>
        <v/>
      </c>
    </row>
    <row r="11" spans="1:19" x14ac:dyDescent="0.2">
      <c r="A11" s="13" t="str">
        <f t="shared" si="0"/>
        <v/>
      </c>
      <c r="B11" s="2">
        <f>'[1]Inflation Factors'!$C9</f>
        <v>46675</v>
      </c>
      <c r="C11" s="20">
        <f>('[1]Inflation Factors'!$B9)/100</f>
        <v>1.6250000000000001E-2</v>
      </c>
      <c r="D11" t="str" cm="1">
        <f t="array" ref="D11" xml:space="preserve"> IFERROR(INDEX('User Input'!$B$9:$AAD$9, ,_xlfn.XMATCH(B11&amp;C11, 'User Input'!$B$7:$AAD$7&amp;'User Input'!$B$8:$AAD$8)),"")</f>
        <v/>
      </c>
      <c r="E11" s="8" t="str">
        <f t="shared" si="1"/>
        <v/>
      </c>
      <c r="F11" s="13" t="str" cm="1">
        <f t="array" ref="F11">IFERROR(INDEX('User Input'!$B$10:$AAD$10, ,_xlfn.XMATCH(B11&amp;C11, 'User Input'!$B$7:$AAD$7&amp;'User Input'!$B$8:$AAD$8)),"")</f>
        <v/>
      </c>
      <c r="G11" s="8" t="str">
        <f t="shared" si="2"/>
        <v/>
      </c>
      <c r="H11" s="8" t="str">
        <f>IF(F11="","",F11*1000*(100%-'User Input'!$B$12))</f>
        <v/>
      </c>
      <c r="I11" s="13" t="str" cm="1">
        <f t="array" ref="I11">IFERROR(INDEX('User Input'!$B$11:$AAD$11, ,_xlfn.XMATCH(B11&amp;C11, 'User Input'!$B$7:$AAD$7&amp;'User Input'!$B$8:$AAD$8)),"")</f>
        <v/>
      </c>
      <c r="J11" s="8" t="str">
        <f t="shared" si="3"/>
        <v/>
      </c>
      <c r="K11">
        <f>'[1]Inflation Factors'!$H9</f>
        <v>1.09537</v>
      </c>
      <c r="L11" s="8" t="str">
        <f t="shared" si="4"/>
        <v/>
      </c>
      <c r="N11" s="8" t="str">
        <f>IF(L11="","",(C11*L11*(100%-'User Input'!$B$12))+(C11*J11*K11*'User Input'!$B$12))</f>
        <v/>
      </c>
      <c r="P11" s="13" t="str">
        <f>IF(AND(Ladder!A11&gt;='User Input'!B$2, Ladder!A11&lt;='User Input'!C$2),Ladder!A11,"")</f>
        <v/>
      </c>
      <c r="Q11" s="8" t="str">
        <f t="shared" si="5"/>
        <v/>
      </c>
      <c r="R11" s="17" t="str" cm="1">
        <f t="array" ref="R11">IF(P11="","",IFERROR(INDEX('User Input'!$B$5:$DD$5,,_xlfn.XMATCH(P11,'User Input'!$B$4:$DD$4)),'User Input'!$B$3))</f>
        <v/>
      </c>
      <c r="S11" s="8" t="str">
        <f t="shared" si="6"/>
        <v/>
      </c>
    </row>
    <row r="12" spans="1:19" x14ac:dyDescent="0.2">
      <c r="A12" s="13">
        <f t="shared" si="0"/>
        <v>2028</v>
      </c>
      <c r="B12" s="2">
        <f>'[1]Inflation Factors'!$C10</f>
        <v>46767</v>
      </c>
      <c r="C12" s="20">
        <f>('[1]Inflation Factors'!$B10)/100</f>
        <v>1.7500000000000002E-2</v>
      </c>
      <c r="D12" t="str" cm="1">
        <f t="array" ref="D12" xml:space="preserve"> IFERROR(INDEX('User Input'!$B$9:$AAD$9, ,_xlfn.XMATCH(B12&amp;C12, 'User Input'!$B$7:$AAD$7&amp;'User Input'!$B$8:$AAD$8)),"")</f>
        <v/>
      </c>
      <c r="E12" s="8" t="str">
        <f t="shared" si="1"/>
        <v/>
      </c>
      <c r="F12" s="13" t="str" cm="1">
        <f t="array" ref="F12">IFERROR(INDEX('User Input'!$B$10:$AAD$10, ,_xlfn.XMATCH(B12&amp;C12, 'User Input'!$B$7:$AAD$7&amp;'User Input'!$B$8:$AAD$8)),"")</f>
        <v/>
      </c>
      <c r="G12" s="8" t="str">
        <f t="shared" si="2"/>
        <v/>
      </c>
      <c r="H12" s="8" t="str">
        <f>IF(F12="","",F12*1000*(100%-'User Input'!$B$12))</f>
        <v/>
      </c>
      <c r="I12" s="13" t="str" cm="1">
        <f t="array" ref="I12">IFERROR(INDEX('User Input'!$B$11:$AAD$11, ,_xlfn.XMATCH(B12&amp;C12, 'User Input'!$B$7:$AAD$7&amp;'User Input'!$B$8:$AAD$8)),"")</f>
        <v/>
      </c>
      <c r="J12" s="8" t="str">
        <f t="shared" si="3"/>
        <v/>
      </c>
      <c r="K12">
        <f>'[1]Inflation Factors'!$H10</f>
        <v>1.5488500000000001</v>
      </c>
      <c r="L12" s="8" t="str">
        <f t="shared" si="4"/>
        <v/>
      </c>
      <c r="N12" s="8" t="str">
        <f>IF(L12="","",(C12*L12*(100%-'User Input'!$B$12))+(C12*J12*K12*'User Input'!$B$12))</f>
        <v/>
      </c>
      <c r="P12" s="13">
        <f>IF(AND(Ladder!A12&gt;='User Input'!B$2, Ladder!A12&lt;='User Input'!C$2),Ladder!A12,"")</f>
        <v>2028</v>
      </c>
      <c r="Q12" s="8">
        <f t="shared" si="5"/>
        <v>32886.5</v>
      </c>
      <c r="R12" s="17" cm="1">
        <f t="array" ref="R12">IF(P12="","",IFERROR(INDEX('User Input'!$B$5:$DD$5,,_xlfn.XMATCH(P12,'User Input'!$B$4:$DD$4)),'User Input'!$B$3))</f>
        <v>37000</v>
      </c>
      <c r="S12" s="8">
        <f t="shared" si="6"/>
        <v>7860.0225959999952</v>
      </c>
    </row>
    <row r="13" spans="1:19" x14ac:dyDescent="0.2">
      <c r="A13" s="13" t="str">
        <f t="shared" si="0"/>
        <v/>
      </c>
      <c r="B13" s="2">
        <f>'[1]Inflation Factors'!$C11</f>
        <v>46767</v>
      </c>
      <c r="C13" s="20">
        <f>('[1]Inflation Factors'!$B11)/100</f>
        <v>5.0000000000000001E-3</v>
      </c>
      <c r="D13" cm="1">
        <f t="array" ref="D13" xml:space="preserve"> IFERROR(INDEX('User Input'!$B$9:$AAD$9, ,_xlfn.XMATCH(B13&amp;C13, 'User Input'!$B$7:$AAD$7&amp;'User Input'!$B$8:$AAD$8)),"")</f>
        <v>25</v>
      </c>
      <c r="E13" s="8">
        <f t="shared" si="1"/>
        <v>25000</v>
      </c>
      <c r="F13" s="13" cm="1">
        <f t="array" ref="F13">IFERROR(INDEX('User Input'!$B$10:$AAD$10, ,_xlfn.XMATCH(B13&amp;C13, 'User Input'!$B$7:$AAD$7&amp;'User Input'!$B$8:$AAD$8)),"")</f>
        <v>0</v>
      </c>
      <c r="G13" s="8">
        <f t="shared" si="2"/>
        <v>0</v>
      </c>
      <c r="H13" s="8">
        <f>IF(F13="","",F13*1000*(100%-'User Input'!$B$12))</f>
        <v>0</v>
      </c>
      <c r="I13" s="13" cm="1">
        <f t="array" ref="I13">IFERROR(INDEX('User Input'!$B$11:$AAD$11, ,_xlfn.XMATCH(B13&amp;C13, 'User Input'!$B$7:$AAD$7&amp;'User Input'!$B$8:$AAD$8)),"")</f>
        <v>0</v>
      </c>
      <c r="J13" s="8">
        <f t="shared" si="3"/>
        <v>0</v>
      </c>
      <c r="K13">
        <f>'[1]Inflation Factors'!$H11</f>
        <v>1.3154600000000001</v>
      </c>
      <c r="L13" s="8">
        <f t="shared" si="4"/>
        <v>32886.5</v>
      </c>
      <c r="N13" s="8">
        <f>IF(L13="","",(C13*L13*(100%-'User Input'!$B$12))+(C13*J13*K13*'User Input'!$B$12))</f>
        <v>124.9687</v>
      </c>
      <c r="P13" s="13" t="str">
        <f>IF(AND(Ladder!A13&gt;='User Input'!B$2, Ladder!A13&lt;='User Input'!C$2),Ladder!A13,"")</f>
        <v/>
      </c>
      <c r="Q13" s="8" t="str">
        <f t="shared" si="5"/>
        <v/>
      </c>
      <c r="R13" s="17" t="str" cm="1">
        <f t="array" ref="R13">IF(P13="","",IFERROR(INDEX('User Input'!$B$5:$DD$5,,_xlfn.XMATCH(P13,'User Input'!$B$4:$DD$4)),'User Input'!$B$3))</f>
        <v/>
      </c>
      <c r="S13" s="8" t="str">
        <f t="shared" si="6"/>
        <v/>
      </c>
    </row>
    <row r="14" spans="1:19" x14ac:dyDescent="0.2">
      <c r="A14" s="13" t="str">
        <f t="shared" si="0"/>
        <v/>
      </c>
      <c r="B14" s="2">
        <f>'[1]Inflation Factors'!$C12</f>
        <v>46858</v>
      </c>
      <c r="C14" s="20">
        <f>('[1]Inflation Factors'!$B12)/100</f>
        <v>3.6249999999999998E-2</v>
      </c>
      <c r="D14" t="str" cm="1">
        <f t="array" ref="D14" xml:space="preserve"> IFERROR(INDEX('User Input'!$B$9:$AAD$9, ,_xlfn.XMATCH(B14&amp;C14, 'User Input'!$B$7:$AAD$7&amp;'User Input'!$B$8:$AAD$8)),"")</f>
        <v/>
      </c>
      <c r="E14" s="8" t="str">
        <f t="shared" si="1"/>
        <v/>
      </c>
      <c r="F14" s="13" t="str" cm="1">
        <f t="array" ref="F14">IFERROR(INDEX('User Input'!$B$10:$AAD$10, ,_xlfn.XMATCH(B14&amp;C14, 'User Input'!$B$7:$AAD$7&amp;'User Input'!$B$8:$AAD$8)),"")</f>
        <v/>
      </c>
      <c r="G14" s="8" t="str">
        <f t="shared" si="2"/>
        <v/>
      </c>
      <c r="H14" s="8" t="str">
        <f>IF(F14="","",F14*1000*(100%-'User Input'!$B$12))</f>
        <v/>
      </c>
      <c r="I14" s="13" t="str" cm="1">
        <f t="array" ref="I14">IFERROR(INDEX('User Input'!$B$11:$AAD$11, ,_xlfn.XMATCH(B14&amp;C14, 'User Input'!$B$7:$AAD$7&amp;'User Input'!$B$8:$AAD$8)),"")</f>
        <v/>
      </c>
      <c r="J14" s="8" t="str">
        <f t="shared" si="3"/>
        <v/>
      </c>
      <c r="K14">
        <f>'[1]Inflation Factors'!$H12</f>
        <v>2.0061800000000001</v>
      </c>
      <c r="L14" s="8" t="str">
        <f t="shared" si="4"/>
        <v/>
      </c>
      <c r="N14" s="8" t="str">
        <f>IF(L14="","",(C14*L14*(100%-'User Input'!$B$12))+(C14*J14*K14*'User Input'!$B$12))</f>
        <v/>
      </c>
      <c r="P14" s="13" t="str">
        <f>IF(AND(Ladder!A14&gt;='User Input'!B$2, Ladder!A14&lt;='User Input'!C$2),Ladder!A14,"")</f>
        <v/>
      </c>
      <c r="Q14" s="8" t="str">
        <f t="shared" si="5"/>
        <v/>
      </c>
      <c r="R14" s="17" t="str" cm="1">
        <f t="array" ref="R14">IF(P14="","",IFERROR(INDEX('User Input'!$B$5:$DD$5,,_xlfn.XMATCH(P14,'User Input'!$B$4:$DD$4)),'User Input'!$B$3))</f>
        <v/>
      </c>
      <c r="S14" s="8" t="str">
        <f t="shared" si="6"/>
        <v/>
      </c>
    </row>
    <row r="15" spans="1:19" x14ac:dyDescent="0.2">
      <c r="A15" s="13" t="str">
        <f t="shared" si="0"/>
        <v/>
      </c>
      <c r="B15" s="2">
        <f>'[1]Inflation Factors'!$C13</f>
        <v>46858</v>
      </c>
      <c r="C15" s="20">
        <f>('[1]Inflation Factors'!$B13)/100</f>
        <v>1.2500000000000001E-2</v>
      </c>
      <c r="D15" t="str" cm="1">
        <f t="array" ref="D15" xml:space="preserve"> IFERROR(INDEX('User Input'!$B$9:$AAD$9, ,_xlfn.XMATCH(B15&amp;C15, 'User Input'!$B$7:$AAD$7&amp;'User Input'!$B$8:$AAD$8)),"")</f>
        <v/>
      </c>
      <c r="E15" s="8" t="str">
        <f t="shared" si="1"/>
        <v/>
      </c>
      <c r="F15" s="13" t="str" cm="1">
        <f t="array" ref="F15">IFERROR(INDEX('User Input'!$B$10:$AAD$10, ,_xlfn.XMATCH(B15&amp;C15, 'User Input'!$B$7:$AAD$7&amp;'User Input'!$B$8:$AAD$8)),"")</f>
        <v/>
      </c>
      <c r="G15" s="8" t="str">
        <f t="shared" si="2"/>
        <v/>
      </c>
      <c r="H15" s="8" t="str">
        <f>IF(F15="","",F15*1000*(100%-'User Input'!$B$12))</f>
        <v/>
      </c>
      <c r="I15" s="13" t="str" cm="1">
        <f t="array" ref="I15">IFERROR(INDEX('User Input'!$B$11:$AAD$11, ,_xlfn.XMATCH(B15&amp;C15, 'User Input'!$B$7:$AAD$7&amp;'User Input'!$B$8:$AAD$8)),"")</f>
        <v/>
      </c>
      <c r="J15" s="8" t="str">
        <f t="shared" si="3"/>
        <v/>
      </c>
      <c r="K15">
        <f>'[1]Inflation Factors'!$H13</f>
        <v>1.08178</v>
      </c>
      <c r="L15" s="8" t="str">
        <f t="shared" si="4"/>
        <v/>
      </c>
      <c r="N15" s="8" t="str">
        <f>IF(L15="","",(C15*L15*(100%-'User Input'!$B$12))+(C15*J15*K15*'User Input'!$B$12))</f>
        <v/>
      </c>
      <c r="P15" s="13" t="str">
        <f>IF(AND(Ladder!A15&gt;='User Input'!B$2, Ladder!A15&lt;='User Input'!C$2),Ladder!A15,"")</f>
        <v/>
      </c>
      <c r="Q15" s="8" t="str">
        <f t="shared" si="5"/>
        <v/>
      </c>
      <c r="R15" s="17" t="str" cm="1">
        <f t="array" ref="R15">IF(P15="","",IFERROR(INDEX('User Input'!$B$5:$DD$5,,_xlfn.XMATCH(P15,'User Input'!$B$4:$DD$4)),'User Input'!$B$3))</f>
        <v/>
      </c>
      <c r="S15" s="8" t="str">
        <f t="shared" si="6"/>
        <v/>
      </c>
    </row>
    <row r="16" spans="1:19" x14ac:dyDescent="0.2">
      <c r="A16" s="13" t="str">
        <f t="shared" si="0"/>
        <v/>
      </c>
      <c r="B16" s="2">
        <f>'[1]Inflation Factors'!$C14</f>
        <v>46949</v>
      </c>
      <c r="C16" s="20">
        <f>('[1]Inflation Factors'!$B14)/100</f>
        <v>7.4999999999999997E-3</v>
      </c>
      <c r="D16" t="str" cm="1">
        <f t="array" ref="D16" xml:space="preserve"> IFERROR(INDEX('User Input'!$B$9:$AAD$9, ,_xlfn.XMATCH(B16&amp;C16, 'User Input'!$B$7:$AAD$7&amp;'User Input'!$B$8:$AAD$8)),"")</f>
        <v/>
      </c>
      <c r="E16" s="8" t="str">
        <f t="shared" si="1"/>
        <v/>
      </c>
      <c r="F16" s="13" t="str" cm="1">
        <f t="array" ref="F16">IFERROR(INDEX('User Input'!$B$10:$AAD$10, ,_xlfn.XMATCH(B16&amp;C16, 'User Input'!$B$7:$AAD$7&amp;'User Input'!$B$8:$AAD$8)),"")</f>
        <v/>
      </c>
      <c r="G16" s="8" t="str">
        <f t="shared" si="2"/>
        <v/>
      </c>
      <c r="H16" s="8" t="str">
        <f>IF(F16="","",F16*1000*(100%-'User Input'!$B$12))</f>
        <v/>
      </c>
      <c r="I16" s="13" t="str" cm="1">
        <f t="array" ref="I16">IFERROR(INDEX('User Input'!$B$11:$AAD$11, ,_xlfn.XMATCH(B16&amp;C16, 'User Input'!$B$7:$AAD$7&amp;'User Input'!$B$8:$AAD$8)),"")</f>
        <v/>
      </c>
      <c r="J16" s="8" t="str">
        <f t="shared" si="3"/>
        <v/>
      </c>
      <c r="K16">
        <f>'[1]Inflation Factors'!$H14</f>
        <v>1.2926599999999999</v>
      </c>
      <c r="L16" s="8" t="str">
        <f t="shared" si="4"/>
        <v/>
      </c>
      <c r="N16" s="8" t="str">
        <f>IF(L16="","",(C16*L16*(100%-'User Input'!$B$12))+(C16*J16*K16*'User Input'!$B$12))</f>
        <v/>
      </c>
      <c r="P16" s="13" t="str">
        <f>IF(AND(Ladder!A16&gt;='User Input'!B$2, Ladder!A16&lt;='User Input'!C$2),Ladder!A16,"")</f>
        <v/>
      </c>
      <c r="Q16" s="8" t="str">
        <f t="shared" si="5"/>
        <v/>
      </c>
      <c r="R16" s="17" t="str" cm="1">
        <f t="array" ref="R16">IF(P16="","",IFERROR(INDEX('User Input'!$B$5:$DD$5,,_xlfn.XMATCH(P16,'User Input'!$B$4:$DD$4)),'User Input'!$B$3))</f>
        <v/>
      </c>
      <c r="S16" s="8" t="str">
        <f t="shared" si="6"/>
        <v/>
      </c>
    </row>
    <row r="17" spans="1:21" x14ac:dyDescent="0.2">
      <c r="A17" s="13" t="str">
        <f t="shared" si="0"/>
        <v/>
      </c>
      <c r="B17" s="2">
        <f>'[1]Inflation Factors'!$C15</f>
        <v>47041</v>
      </c>
      <c r="C17" s="20">
        <f>('[1]Inflation Factors'!$B15)/100</f>
        <v>2.375E-2</v>
      </c>
      <c r="D17" t="str" cm="1">
        <f t="array" ref="D17" xml:space="preserve"> IFERROR(INDEX('User Input'!$B$9:$AAD$9, ,_xlfn.XMATCH(B17&amp;C17, 'User Input'!$B$7:$AAD$7&amp;'User Input'!$B$8:$AAD$8)),"")</f>
        <v/>
      </c>
      <c r="E17" s="8" t="str">
        <f t="shared" si="1"/>
        <v/>
      </c>
      <c r="F17" s="13" t="str" cm="1">
        <f t="array" ref="F17">IFERROR(INDEX('User Input'!$B$10:$AAD$10, ,_xlfn.XMATCH(B17&amp;C17, 'User Input'!$B$7:$AAD$7&amp;'User Input'!$B$8:$AAD$8)),"")</f>
        <v/>
      </c>
      <c r="G17" s="8" t="str">
        <f t="shared" si="2"/>
        <v/>
      </c>
      <c r="H17" s="8" t="str">
        <f>IF(F17="","",F17*1000*(100%-'User Input'!$B$12))</f>
        <v/>
      </c>
      <c r="I17" s="13" t="str" cm="1">
        <f t="array" ref="I17">IFERROR(INDEX('User Input'!$B$11:$AAD$11, ,_xlfn.XMATCH(B17&amp;C17, 'User Input'!$B$7:$AAD$7&amp;'User Input'!$B$8:$AAD$8)),"")</f>
        <v/>
      </c>
      <c r="J17" s="8" t="str">
        <f t="shared" si="3"/>
        <v/>
      </c>
      <c r="K17">
        <f>'[1]Inflation Factors'!$H15</f>
        <v>1.0593699999999999</v>
      </c>
      <c r="L17" s="8" t="str">
        <f t="shared" si="4"/>
        <v/>
      </c>
      <c r="N17" s="8" t="str">
        <f>IF(L17="","",(C17*L17*(100%-'User Input'!$B$12))+(C17*J17*K17*'User Input'!$B$12))</f>
        <v/>
      </c>
      <c r="P17" s="13" t="str">
        <f>IF(AND(Ladder!A17&gt;='User Input'!B$2, Ladder!A17&lt;='User Input'!C$2),Ladder!A17,"")</f>
        <v/>
      </c>
      <c r="Q17" s="8" t="str">
        <f t="shared" si="5"/>
        <v/>
      </c>
      <c r="R17" s="17" t="str" cm="1">
        <f t="array" ref="R17">IF(P17="","",IFERROR(INDEX('User Input'!$B$5:$DD$5,,_xlfn.XMATCH(P17,'User Input'!$B$4:$DD$4)),'User Input'!$B$3))</f>
        <v/>
      </c>
      <c r="S17" s="8" t="str">
        <f t="shared" si="6"/>
        <v/>
      </c>
    </row>
    <row r="18" spans="1:21" x14ac:dyDescent="0.2">
      <c r="A18" s="13">
        <f t="shared" si="0"/>
        <v>2029</v>
      </c>
      <c r="B18" s="2">
        <f>'[1]Inflation Factors'!$C16</f>
        <v>47133</v>
      </c>
      <c r="C18" s="20">
        <f>('[1]Inflation Factors'!$B16)/100</f>
        <v>2.5000000000000001E-2</v>
      </c>
      <c r="D18" cm="1">
        <f t="array" ref="D18" xml:space="preserve"> IFERROR(INDEX('User Input'!$B$9:$AAD$9, ,_xlfn.XMATCH(B18&amp;C18, 'User Input'!$B$7:$AAD$7&amp;'User Input'!$B$8:$AAD$8)),"")</f>
        <v>22</v>
      </c>
      <c r="E18" s="8">
        <f t="shared" si="1"/>
        <v>22000</v>
      </c>
      <c r="F18" s="13" cm="1">
        <f t="array" ref="F18">IFERROR(INDEX('User Input'!$B$10:$AAD$10, ,_xlfn.XMATCH(B18&amp;C18, 'User Input'!$B$7:$AAD$7&amp;'User Input'!$B$8:$AAD$8)),"")</f>
        <v>0</v>
      </c>
      <c r="G18" s="8">
        <f t="shared" si="2"/>
        <v>0</v>
      </c>
      <c r="H18" s="8">
        <f>IF(F18="","",F18*1000*(100%-'User Input'!$B$12))</f>
        <v>0</v>
      </c>
      <c r="I18" s="13" cm="1">
        <f t="array" ref="I18">IFERROR(INDEX('User Input'!$B$11:$AAD$11, ,_xlfn.XMATCH(B18&amp;C18, 'User Input'!$B$7:$AAD$7&amp;'User Input'!$B$8:$AAD$8)),"")</f>
        <v>0</v>
      </c>
      <c r="J18" s="8">
        <f t="shared" si="3"/>
        <v>0</v>
      </c>
      <c r="K18">
        <f>'[1]Inflation Factors'!$H16</f>
        <v>1.51132</v>
      </c>
      <c r="L18" s="8">
        <f t="shared" si="4"/>
        <v>33249.040000000001</v>
      </c>
      <c r="N18" s="8">
        <f>IF(L18="","",(C18*L18*(100%-'User Input'!$B$12))+(C18*J18*K18*'User Input'!$B$12))</f>
        <v>631.73176000000012</v>
      </c>
      <c r="P18" s="13">
        <f>IF(AND(Ladder!A18&gt;='User Input'!B$2, Ladder!A18&lt;='User Input'!C$2),Ladder!A18,"")</f>
        <v>2029</v>
      </c>
      <c r="Q18" s="8">
        <f t="shared" si="5"/>
        <v>33249.040000000001</v>
      </c>
      <c r="R18" s="17" cm="1">
        <f t="array" ref="R18">IF(P18="","",IFERROR(INDEX('User Input'!$B$5:$DD$5,,_xlfn.XMATCH(P18,'User Input'!$B$4:$DD$4)),'User Input'!$B$3))</f>
        <v>37000</v>
      </c>
      <c r="S18" s="8">
        <f t="shared" si="6"/>
        <v>8097.5938959999985</v>
      </c>
    </row>
    <row r="19" spans="1:21" x14ac:dyDescent="0.2">
      <c r="A19" s="13" t="str">
        <f t="shared" si="0"/>
        <v/>
      </c>
      <c r="B19" s="2">
        <f>'[1]Inflation Factors'!$C17</f>
        <v>47133</v>
      </c>
      <c r="C19" s="20">
        <f>('[1]Inflation Factors'!$B17)/100</f>
        <v>8.7500000000000008E-3</v>
      </c>
      <c r="D19" t="str" cm="1">
        <f t="array" ref="D19" xml:space="preserve"> IFERROR(INDEX('User Input'!$B$9:$AAD$9, ,_xlfn.XMATCH(B19&amp;C19, 'User Input'!$B$7:$AAD$7&amp;'User Input'!$B$8:$AAD$8)),"")</f>
        <v/>
      </c>
      <c r="E19" s="8" t="str">
        <f t="shared" si="1"/>
        <v/>
      </c>
      <c r="F19" s="13" t="str" cm="1">
        <f t="array" ref="F19">IFERROR(INDEX('User Input'!$B$10:$AAD$10, ,_xlfn.XMATCH(B19&amp;C19, 'User Input'!$B$7:$AAD$7&amp;'User Input'!$B$8:$AAD$8)),"")</f>
        <v/>
      </c>
      <c r="G19" s="8" t="str">
        <f t="shared" si="2"/>
        <v/>
      </c>
      <c r="H19" s="8" t="str">
        <f>IF(F19="","",F19*1000*(100%-'User Input'!$B$12))</f>
        <v/>
      </c>
      <c r="I19" s="13" t="str" cm="1">
        <f t="array" ref="I19">IFERROR(INDEX('User Input'!$B$11:$AAD$11, ,_xlfn.XMATCH(B19&amp;C19, 'User Input'!$B$7:$AAD$7&amp;'User Input'!$B$8:$AAD$8)),"")</f>
        <v/>
      </c>
      <c r="J19" s="8" t="str">
        <f t="shared" si="3"/>
        <v/>
      </c>
      <c r="K19">
        <f>'[1]Inflation Factors'!$H17</f>
        <v>1.28505</v>
      </c>
      <c r="L19" s="8" t="str">
        <f t="shared" si="4"/>
        <v/>
      </c>
      <c r="N19" s="8" t="str">
        <f>IF(L19="","",(C19*L19*(100%-'User Input'!$B$12))+(C19*J19*K19*'User Input'!$B$12))</f>
        <v/>
      </c>
      <c r="P19" s="13" t="str">
        <f>IF(AND(Ladder!A19&gt;='User Input'!B$2, Ladder!A19&lt;='User Input'!C$2),Ladder!A19,"")</f>
        <v/>
      </c>
      <c r="Q19" s="8" t="str">
        <f t="shared" si="5"/>
        <v/>
      </c>
      <c r="R19" s="17" t="str" cm="1">
        <f t="array" ref="R19">IF(P19="","",IFERROR(INDEX('User Input'!$B$5:$DD$5,,_xlfn.XMATCH(P19,'User Input'!$B$4:$DD$4)),'User Input'!$B$3))</f>
        <v/>
      </c>
      <c r="S19" s="8" t="str">
        <f t="shared" si="6"/>
        <v/>
      </c>
    </row>
    <row r="20" spans="1:21" x14ac:dyDescent="0.2">
      <c r="A20" s="13" t="str">
        <f t="shared" si="0"/>
        <v/>
      </c>
      <c r="B20" s="2">
        <f>'[1]Inflation Factors'!$C18</f>
        <v>47223</v>
      </c>
      <c r="C20" s="20">
        <f>('[1]Inflation Factors'!$B18)/100</f>
        <v>3.875E-2</v>
      </c>
      <c r="D20" t="str" cm="1">
        <f t="array" ref="D20" xml:space="preserve"> IFERROR(INDEX('User Input'!$B$9:$AAD$9, ,_xlfn.XMATCH(B20&amp;C20, 'User Input'!$B$7:$AAD$7&amp;'User Input'!$B$8:$AAD$8)),"")</f>
        <v/>
      </c>
      <c r="E20" s="8" t="str">
        <f t="shared" si="1"/>
        <v/>
      </c>
      <c r="F20" s="13" t="str" cm="1">
        <f t="array" ref="F20">IFERROR(INDEX('User Input'!$B$10:$AAD$10, ,_xlfn.XMATCH(B20&amp;C20, 'User Input'!$B$7:$AAD$7&amp;'User Input'!$B$8:$AAD$8)),"")</f>
        <v/>
      </c>
      <c r="G20" s="8" t="str">
        <f t="shared" si="2"/>
        <v/>
      </c>
      <c r="H20" s="8" t="str">
        <f>IF(F20="","",F20*1000*(100%-'User Input'!$B$12))</f>
        <v/>
      </c>
      <c r="I20" s="13" t="str" cm="1">
        <f t="array" ref="I20">IFERROR(INDEX('User Input'!$B$11:$AAD$11, ,_xlfn.XMATCH(B20&amp;C20, 'User Input'!$B$7:$AAD$7&amp;'User Input'!$B$8:$AAD$8)),"")</f>
        <v/>
      </c>
      <c r="J20" s="8" t="str">
        <f t="shared" si="3"/>
        <v/>
      </c>
      <c r="K20">
        <f>'[1]Inflation Factors'!$H18</f>
        <v>1.9738</v>
      </c>
      <c r="L20" s="8" t="str">
        <f t="shared" si="4"/>
        <v/>
      </c>
      <c r="N20" s="8" t="str">
        <f>IF(L20="","",(C20*L20*(100%-'User Input'!$B$12))+(C20*J20*K20*'User Input'!$B$12))</f>
        <v/>
      </c>
      <c r="P20" s="13" t="str">
        <f>IF(AND(Ladder!A20&gt;='User Input'!B$2, Ladder!A20&lt;='User Input'!C$2),Ladder!A20,"")</f>
        <v/>
      </c>
      <c r="Q20" s="8" t="str">
        <f t="shared" si="5"/>
        <v/>
      </c>
      <c r="R20" s="17" t="str" cm="1">
        <f t="array" ref="R20">IF(P20="","",IFERROR(INDEX('User Input'!$B$5:$DD$5,,_xlfn.XMATCH(P20,'User Input'!$B$4:$DD$4)),'User Input'!$B$3))</f>
        <v/>
      </c>
      <c r="S20" s="8" t="str">
        <f t="shared" si="6"/>
        <v/>
      </c>
      <c r="U20" s="3"/>
    </row>
    <row r="21" spans="1:21" x14ac:dyDescent="0.2">
      <c r="A21" s="13" t="str">
        <f t="shared" si="0"/>
        <v/>
      </c>
      <c r="B21" s="2">
        <f>'[1]Inflation Factors'!$C19</f>
        <v>47223</v>
      </c>
      <c r="C21" s="20">
        <f>('[1]Inflation Factors'!$B19)/100</f>
        <v>2.1250000000000002E-2</v>
      </c>
      <c r="D21" t="str" cm="1">
        <f t="array" ref="D21" xml:space="preserve"> IFERROR(INDEX('User Input'!$B$9:$AAD$9, ,_xlfn.XMATCH(B21&amp;C21, 'User Input'!$B$7:$AAD$7&amp;'User Input'!$B$8:$AAD$8)),"")</f>
        <v/>
      </c>
      <c r="E21" s="8" t="str">
        <f t="shared" si="1"/>
        <v/>
      </c>
      <c r="F21" s="13" t="str" cm="1">
        <f t="array" ref="F21">IFERROR(INDEX('User Input'!$B$10:$AAD$10, ,_xlfn.XMATCH(B21&amp;C21, 'User Input'!$B$7:$AAD$7&amp;'User Input'!$B$8:$AAD$8)),"")</f>
        <v/>
      </c>
      <c r="G21" s="8" t="str">
        <f t="shared" si="2"/>
        <v/>
      </c>
      <c r="H21" s="8" t="str">
        <f>IF(F21="","",F21*1000*(100%-'User Input'!$B$12))</f>
        <v/>
      </c>
      <c r="I21" s="13" t="str" cm="1">
        <f t="array" ref="I21">IFERROR(INDEX('User Input'!$B$11:$AAD$11, ,_xlfn.XMATCH(B21&amp;C21, 'User Input'!$B$7:$AAD$7&amp;'User Input'!$B$8:$AAD$8)),"")</f>
        <v/>
      </c>
      <c r="J21" s="8" t="str">
        <f t="shared" si="3"/>
        <v/>
      </c>
      <c r="K21">
        <f>'[1]Inflation Factors'!$H19</f>
        <v>1.04905</v>
      </c>
      <c r="L21" s="8" t="str">
        <f t="shared" si="4"/>
        <v/>
      </c>
      <c r="N21" s="8" t="str">
        <f>IF(L21="","",(C21*L21*(100%-'User Input'!$B$12))+(C21*J21*K21*'User Input'!$B$12))</f>
        <v/>
      </c>
      <c r="P21" s="13" t="str">
        <f>IF(AND(Ladder!A21&gt;='User Input'!B$2, Ladder!A21&lt;='User Input'!C$2),Ladder!A21,"")</f>
        <v/>
      </c>
      <c r="Q21" s="8" t="str">
        <f t="shared" si="5"/>
        <v/>
      </c>
      <c r="R21" s="17" t="str" cm="1">
        <f t="array" ref="R21">IF(P21="","",IFERROR(INDEX('User Input'!$B$5:$DD$5,,_xlfn.XMATCH(P21,'User Input'!$B$4:$DD$4)),'User Input'!$B$3))</f>
        <v/>
      </c>
      <c r="S21" s="8" t="str">
        <f t="shared" si="6"/>
        <v/>
      </c>
    </row>
    <row r="22" spans="1:21" x14ac:dyDescent="0.2">
      <c r="A22" s="13" t="str">
        <f t="shared" si="0"/>
        <v/>
      </c>
      <c r="B22" s="2">
        <f>'[1]Inflation Factors'!$C20</f>
        <v>47314</v>
      </c>
      <c r="C22" s="20">
        <f>('[1]Inflation Factors'!$B20)/100</f>
        <v>2.5000000000000001E-3</v>
      </c>
      <c r="D22" t="str" cm="1">
        <f t="array" ref="D22" xml:space="preserve"> IFERROR(INDEX('User Input'!$B$9:$AAD$9, ,_xlfn.XMATCH(B22&amp;C22, 'User Input'!$B$7:$AAD$7&amp;'User Input'!$B$8:$AAD$8)),"")</f>
        <v/>
      </c>
      <c r="E22" s="8" t="str">
        <f t="shared" si="1"/>
        <v/>
      </c>
      <c r="F22" s="13" t="str" cm="1">
        <f t="array" ref="F22">IFERROR(INDEX('User Input'!$B$10:$AAD$10, ,_xlfn.XMATCH(B22&amp;C22, 'User Input'!$B$7:$AAD$7&amp;'User Input'!$B$8:$AAD$8)),"")</f>
        <v/>
      </c>
      <c r="G22" s="8" t="str">
        <f t="shared" si="2"/>
        <v/>
      </c>
      <c r="H22" s="8" t="str">
        <f>IF(F22="","",F22*1000*(100%-'User Input'!$B$12))</f>
        <v/>
      </c>
      <c r="I22" s="13" t="str" cm="1">
        <f t="array" ref="I22">IFERROR(INDEX('User Input'!$B$11:$AAD$11, ,_xlfn.XMATCH(B22&amp;C22, 'User Input'!$B$7:$AAD$7&amp;'User Input'!$B$8:$AAD$8)),"")</f>
        <v/>
      </c>
      <c r="J22" s="8" t="str">
        <f t="shared" si="3"/>
        <v/>
      </c>
      <c r="K22">
        <f>'[1]Inflation Factors'!$H20</f>
        <v>1.2685200000000001</v>
      </c>
      <c r="L22" s="8" t="str">
        <f t="shared" si="4"/>
        <v/>
      </c>
      <c r="N22" s="8" t="str">
        <f>IF(L22="","",(C22*L22*(100%-'User Input'!$B$12))+(C22*J22*K22*'User Input'!$B$12))</f>
        <v/>
      </c>
      <c r="P22" s="13" t="str">
        <f>IF(AND(Ladder!A22&gt;='User Input'!B$2, Ladder!A22&lt;='User Input'!C$2),Ladder!A22,"")</f>
        <v/>
      </c>
      <c r="Q22" s="8" t="str">
        <f t="shared" si="5"/>
        <v/>
      </c>
      <c r="R22" s="17" t="str" cm="1">
        <f t="array" ref="R22">IF(P22="","",IFERROR(INDEX('User Input'!$B$5:$DD$5,,_xlfn.XMATCH(P22,'User Input'!$B$4:$DD$4)),'User Input'!$B$3))</f>
        <v/>
      </c>
      <c r="S22" s="8" t="str">
        <f t="shared" si="6"/>
        <v/>
      </c>
    </row>
    <row r="23" spans="1:21" x14ac:dyDescent="0.2">
      <c r="A23" s="13" t="str">
        <f t="shared" si="0"/>
        <v/>
      </c>
      <c r="B23" s="2">
        <f>'[1]Inflation Factors'!$C21</f>
        <v>47406</v>
      </c>
      <c r="C23" s="20">
        <f>('[1]Inflation Factors'!$B21)/100</f>
        <v>1.6250000000000001E-2</v>
      </c>
      <c r="D23" t="str" cm="1">
        <f t="array" ref="D23" xml:space="preserve"> IFERROR(INDEX('User Input'!$B$9:$AAD$9, ,_xlfn.XMATCH(B23&amp;C23, 'User Input'!$B$7:$AAD$7&amp;'User Input'!$B$8:$AAD$8)),"")</f>
        <v/>
      </c>
      <c r="E23" s="8" t="str">
        <f t="shared" si="1"/>
        <v/>
      </c>
      <c r="F23" s="13" t="str" cm="1">
        <f t="array" ref="F23">IFERROR(INDEX('User Input'!$B$10:$AAD$10, ,_xlfn.XMATCH(B23&amp;C23, 'User Input'!$B$7:$AAD$7&amp;'User Input'!$B$8:$AAD$8)),"")</f>
        <v/>
      </c>
      <c r="G23" s="8" t="str">
        <f t="shared" si="2"/>
        <v/>
      </c>
      <c r="H23" s="8" t="str">
        <f>IF(F23="","",F23*1000*(100%-'User Input'!$B$12))</f>
        <v/>
      </c>
      <c r="I23" s="13" t="str" cm="1">
        <f t="array" ref="I23">IFERROR(INDEX('User Input'!$B$11:$AAD$11, ,_xlfn.XMATCH(B23&amp;C23, 'User Input'!$B$7:$AAD$7&amp;'User Input'!$B$8:$AAD$8)),"")</f>
        <v/>
      </c>
      <c r="J23" s="8" t="str">
        <f t="shared" si="3"/>
        <v/>
      </c>
      <c r="K23">
        <f>'[1]Inflation Factors'!$H21</f>
        <v>1.03122</v>
      </c>
      <c r="L23" s="8" t="str">
        <f t="shared" si="4"/>
        <v/>
      </c>
      <c r="N23" s="8" t="str">
        <f>IF(L23="","",(C23*L23*(100%-'User Input'!$B$12))+(C23*J23*K23*'User Input'!$B$12))</f>
        <v/>
      </c>
      <c r="P23" s="13" t="str">
        <f>IF(AND(Ladder!A23&gt;='User Input'!B$2, Ladder!A23&lt;='User Input'!C$2),Ladder!A23,"")</f>
        <v/>
      </c>
      <c r="Q23" s="8" t="str">
        <f t="shared" si="5"/>
        <v/>
      </c>
      <c r="R23" s="17" t="str" cm="1">
        <f t="array" ref="R23">IF(P23="","",IFERROR(INDEX('User Input'!$B$5:$DD$5,,_xlfn.XMATCH(P23,'User Input'!$B$4:$DD$4)),'User Input'!$B$3))</f>
        <v/>
      </c>
      <c r="S23" s="8" t="str">
        <f t="shared" si="6"/>
        <v/>
      </c>
    </row>
    <row r="24" spans="1:21" x14ac:dyDescent="0.2">
      <c r="A24" s="13">
        <f t="shared" si="0"/>
        <v>2030</v>
      </c>
      <c r="B24" s="2">
        <f>'[1]Inflation Factors'!$C22</f>
        <v>47498</v>
      </c>
      <c r="C24" s="20">
        <f>('[1]Inflation Factors'!$B22)/100</f>
        <v>1.25E-3</v>
      </c>
      <c r="D24" cm="1">
        <f t="array" ref="D24" xml:space="preserve"> IFERROR(INDEX('User Input'!$B$9:$AAD$9, ,_xlfn.XMATCH(B24&amp;C24, 'User Input'!$B$7:$AAD$7&amp;'User Input'!$B$8:$AAD$8)),"")</f>
        <v>26</v>
      </c>
      <c r="E24" s="8">
        <f t="shared" si="1"/>
        <v>26000</v>
      </c>
      <c r="F24" s="13" cm="1">
        <f t="array" ref="F24">IFERROR(INDEX('User Input'!$B$10:$AAD$10, ,_xlfn.XMATCH(B24&amp;C24, 'User Input'!$B$7:$AAD$7&amp;'User Input'!$B$8:$AAD$8)),"")</f>
        <v>0</v>
      </c>
      <c r="G24" s="8">
        <f t="shared" si="2"/>
        <v>0</v>
      </c>
      <c r="H24" s="8">
        <f>IF(F24="","",F24*1000*(100%-'User Input'!$B$12))</f>
        <v>0</v>
      </c>
      <c r="I24" s="13" cm="1">
        <f t="array" ref="I24">IFERROR(INDEX('User Input'!$B$11:$AAD$11, ,_xlfn.XMATCH(B24&amp;C24, 'User Input'!$B$7:$AAD$7&amp;'User Input'!$B$8:$AAD$8)),"")</f>
        <v>0</v>
      </c>
      <c r="J24" s="8">
        <f t="shared" si="3"/>
        <v>0</v>
      </c>
      <c r="K24">
        <f>'[1]Inflation Factors'!$H22</f>
        <v>1.2611699999999999</v>
      </c>
      <c r="L24" s="8">
        <f t="shared" si="4"/>
        <v>32790.42</v>
      </c>
      <c r="N24" s="8">
        <f>IF(L24="","",(C24*L24*(100%-'User Input'!$B$12))+(C24*J24*K24*'User Input'!$B$12))</f>
        <v>31.150898999999999</v>
      </c>
      <c r="P24" s="13">
        <f>IF(AND(Ladder!A24&gt;='User Input'!B$2, Ladder!A24&lt;='User Input'!C$2),Ladder!A24,"")</f>
        <v>2030</v>
      </c>
      <c r="Q24" s="8">
        <f t="shared" si="5"/>
        <v>32790.42</v>
      </c>
      <c r="R24" s="17" cm="1">
        <f t="array" ref="R24">IF(P24="","",IFERROR(INDEX('User Input'!$B$5:$DD$5,,_xlfn.XMATCH(P24,'User Input'!$B$4:$DD$4)),'User Input'!$B$3))</f>
        <v>37000</v>
      </c>
      <c r="S24" s="8">
        <f t="shared" si="6"/>
        <v>7007.2421359999935</v>
      </c>
    </row>
    <row r="25" spans="1:21" x14ac:dyDescent="0.2">
      <c r="A25" s="13" t="str">
        <f t="shared" si="0"/>
        <v/>
      </c>
      <c r="B25" s="2">
        <f>'[1]Inflation Factors'!$C23</f>
        <v>47588</v>
      </c>
      <c r="C25" s="20">
        <f>('[1]Inflation Factors'!$B23)/100</f>
        <v>1.6250000000000001E-2</v>
      </c>
      <c r="D25" t="str" cm="1">
        <f t="array" ref="D25" xml:space="preserve"> IFERROR(INDEX('User Input'!$B$9:$AAD$9, ,_xlfn.XMATCH(B25&amp;C25, 'User Input'!$B$7:$AAD$7&amp;'User Input'!$B$8:$AAD$8)),"")</f>
        <v/>
      </c>
      <c r="E25" s="8" t="str">
        <f t="shared" si="1"/>
        <v/>
      </c>
      <c r="F25" s="13" t="str" cm="1">
        <f t="array" ref="F25">IFERROR(INDEX('User Input'!$B$10:$AAD$10, ,_xlfn.XMATCH(B25&amp;C25, 'User Input'!$B$7:$AAD$7&amp;'User Input'!$B$8:$AAD$8)),"")</f>
        <v/>
      </c>
      <c r="G25" s="8" t="str">
        <f t="shared" si="2"/>
        <v/>
      </c>
      <c r="H25" s="8" t="str">
        <f>IF(F25="","",F25*1000*(100%-'User Input'!$B$12))</f>
        <v/>
      </c>
      <c r="I25" s="13" t="str" cm="1">
        <f t="array" ref="I25">IFERROR(INDEX('User Input'!$B$11:$AAD$11, ,_xlfn.XMATCH(B25&amp;C25, 'User Input'!$B$7:$AAD$7&amp;'User Input'!$B$8:$AAD$8)),"")</f>
        <v/>
      </c>
      <c r="J25" s="8" t="str">
        <f t="shared" si="3"/>
        <v/>
      </c>
      <c r="K25">
        <f>'[1]Inflation Factors'!$H23</f>
        <v>1.01932</v>
      </c>
      <c r="L25" s="8" t="str">
        <f t="shared" si="4"/>
        <v/>
      </c>
      <c r="N25" s="8" t="str">
        <f>IF(L25="","",(C25*L25*(100%-'User Input'!$B$12))+(C25*J25*K25*'User Input'!$B$12))</f>
        <v/>
      </c>
      <c r="P25" s="13" t="str">
        <f>IF(AND(Ladder!A25&gt;='User Input'!B$2, Ladder!A25&lt;='User Input'!C$2),Ladder!A25,"")</f>
        <v/>
      </c>
      <c r="Q25" s="8" t="str">
        <f t="shared" si="5"/>
        <v/>
      </c>
      <c r="R25" s="17" t="str" cm="1">
        <f t="array" ref="R25">IF(P25="","",IFERROR(INDEX('User Input'!$B$5:$DD$5,,_xlfn.XMATCH(P25,'User Input'!$B$4:$DD$4)),'User Input'!$B$3))</f>
        <v/>
      </c>
      <c r="S25" s="8" t="str">
        <f t="shared" si="6"/>
        <v/>
      </c>
    </row>
    <row r="26" spans="1:21" x14ac:dyDescent="0.2">
      <c r="A26" s="13" t="str">
        <f t="shared" si="0"/>
        <v/>
      </c>
      <c r="B26" s="2">
        <f>'[1]Inflation Factors'!$C24</f>
        <v>47679</v>
      </c>
      <c r="C26" s="20">
        <f>('[1]Inflation Factors'!$B24)/100</f>
        <v>1.25E-3</v>
      </c>
      <c r="D26" t="str" cm="1">
        <f t="array" ref="D26" xml:space="preserve"> IFERROR(INDEX('User Input'!$B$9:$AAD$9, ,_xlfn.XMATCH(B26&amp;C26, 'User Input'!$B$7:$AAD$7&amp;'User Input'!$B$8:$AAD$8)),"")</f>
        <v/>
      </c>
      <c r="E26" s="8" t="str">
        <f t="shared" si="1"/>
        <v/>
      </c>
      <c r="F26" s="13" t="str" cm="1">
        <f t="array" ref="F26">IFERROR(INDEX('User Input'!$B$10:$AAD$10, ,_xlfn.XMATCH(B26&amp;C26, 'User Input'!$B$7:$AAD$7&amp;'User Input'!$B$8:$AAD$8)),"")</f>
        <v/>
      </c>
      <c r="G26" s="8" t="str">
        <f t="shared" si="2"/>
        <v/>
      </c>
      <c r="H26" s="8" t="str">
        <f>IF(F26="","",F26*1000*(100%-'User Input'!$B$12))</f>
        <v/>
      </c>
      <c r="I26" s="13" t="str" cm="1">
        <f t="array" ref="I26">IFERROR(INDEX('User Input'!$B$11:$AAD$11, ,_xlfn.XMATCH(B26&amp;C26, 'User Input'!$B$7:$AAD$7&amp;'User Input'!$B$8:$AAD$8)),"")</f>
        <v/>
      </c>
      <c r="J26" s="8" t="str">
        <f t="shared" si="3"/>
        <v/>
      </c>
      <c r="K26">
        <f>'[1]Inflation Factors'!$H24</f>
        <v>1.26556</v>
      </c>
      <c r="L26" s="8" t="str">
        <f t="shared" si="4"/>
        <v/>
      </c>
      <c r="N26" s="8" t="str">
        <f>IF(L26="","",(C26*L26*(100%-'User Input'!$B$12))+(C26*J26*K26*'User Input'!$B$12))</f>
        <v/>
      </c>
      <c r="P26" s="13" t="str">
        <f>IF(AND(Ladder!A26&gt;='User Input'!B$2, Ladder!A26&lt;='User Input'!C$2),Ladder!A26,"")</f>
        <v/>
      </c>
      <c r="Q26" s="8" t="str">
        <f t="shared" si="5"/>
        <v/>
      </c>
      <c r="R26" s="17" t="str" cm="1">
        <f t="array" ref="R26">IF(P26="","",IFERROR(INDEX('User Input'!$B$5:$DD$5,,_xlfn.XMATCH(P26,'User Input'!$B$4:$DD$4)),'User Input'!$B$3))</f>
        <v/>
      </c>
      <c r="S26" s="8" t="str">
        <f t="shared" si="6"/>
        <v/>
      </c>
    </row>
    <row r="27" spans="1:21" x14ac:dyDescent="0.2">
      <c r="A27" s="13" t="str">
        <f t="shared" si="0"/>
        <v/>
      </c>
      <c r="B27" s="2">
        <f>'[1]Inflation Factors'!$C25</f>
        <v>47771</v>
      </c>
      <c r="C27" s="20">
        <f>('[1]Inflation Factors'!$B25)/100</f>
        <v>1.125E-2</v>
      </c>
      <c r="D27" t="str" cm="1">
        <f t="array" ref="D27" xml:space="preserve"> IFERROR(INDEX('User Input'!$B$9:$AAD$9, ,_xlfn.XMATCH(B27&amp;C27, 'User Input'!$B$7:$AAD$7&amp;'User Input'!$B$8:$AAD$8)),"")</f>
        <v/>
      </c>
      <c r="E27" s="8" t="str">
        <f t="shared" si="1"/>
        <v/>
      </c>
      <c r="F27" s="13" t="str" cm="1">
        <f t="array" ref="F27">IFERROR(INDEX('User Input'!$B$10:$AAD$10, ,_xlfn.XMATCH(B27&amp;C27, 'User Input'!$B$7:$AAD$7&amp;'User Input'!$B$8:$AAD$8)),"")</f>
        <v/>
      </c>
      <c r="G27" s="8" t="str">
        <f t="shared" si="2"/>
        <v/>
      </c>
      <c r="H27" s="8" t="str">
        <f>IF(F27="","",F27*1000*(100%-'User Input'!$B$12))</f>
        <v/>
      </c>
      <c r="I27" s="13" t="str" cm="1">
        <f t="array" ref="I27">IFERROR(INDEX('User Input'!$B$11:$AAD$11, ,_xlfn.XMATCH(B27&amp;C27, 'User Input'!$B$7:$AAD$7&amp;'User Input'!$B$8:$AAD$8)),"")</f>
        <v/>
      </c>
      <c r="J27" s="8" t="str">
        <f t="shared" si="3"/>
        <v/>
      </c>
      <c r="K27">
        <f>'[1]Inflation Factors'!$H25</f>
        <v>1.0031300000000001</v>
      </c>
      <c r="L27" s="8" t="str">
        <f t="shared" si="4"/>
        <v/>
      </c>
      <c r="N27" s="8" t="str">
        <f>IF(L27="","",(C27*L27*(100%-'User Input'!$B$12))+(C27*J27*K27*'User Input'!$B$12))</f>
        <v/>
      </c>
      <c r="P27" s="13" t="str">
        <f>IF(AND(Ladder!A27&gt;='User Input'!B$2, Ladder!A27&lt;='User Input'!C$2),Ladder!A27,"")</f>
        <v/>
      </c>
      <c r="Q27" s="8" t="str">
        <f t="shared" si="5"/>
        <v/>
      </c>
      <c r="R27" s="17" t="str" cm="1">
        <f t="array" ref="R27">IF(P27="","",IFERROR(INDEX('User Input'!$B$5:$DD$5,,_xlfn.XMATCH(P27,'User Input'!$B$4:$DD$4)),'User Input'!$B$3))</f>
        <v/>
      </c>
      <c r="S27" s="8" t="str">
        <f t="shared" si="6"/>
        <v/>
      </c>
    </row>
    <row r="28" spans="1:21" x14ac:dyDescent="0.2">
      <c r="A28" s="13">
        <f t="shared" si="0"/>
        <v>2031</v>
      </c>
      <c r="B28" s="2">
        <f>'[1]Inflation Factors'!$C26</f>
        <v>47863</v>
      </c>
      <c r="C28" s="20">
        <f>('[1]Inflation Factors'!$B26)/100</f>
        <v>1.25E-3</v>
      </c>
      <c r="D28" cm="1">
        <f t="array" ref="D28" xml:space="preserve"> IFERROR(INDEX('User Input'!$B$9:$AAD$9, ,_xlfn.XMATCH(B28&amp;C28, 'User Input'!$B$7:$AAD$7&amp;'User Input'!$B$8:$AAD$8)),"")</f>
        <v>0</v>
      </c>
      <c r="E28" s="8">
        <f t="shared" si="1"/>
        <v>0</v>
      </c>
      <c r="F28" s="13" cm="1">
        <f t="array" ref="F28">IFERROR(INDEX('User Input'!$B$10:$AAD$10, ,_xlfn.XMATCH(B28&amp;C28, 'User Input'!$B$7:$AAD$7&amp;'User Input'!$B$8:$AAD$8)),"")</f>
        <v>10</v>
      </c>
      <c r="G28" s="8">
        <f t="shared" si="2"/>
        <v>10000</v>
      </c>
      <c r="H28" s="8">
        <f>IF(F28="","",F28*1000*(100%-'User Input'!$B$12))</f>
        <v>7600</v>
      </c>
      <c r="I28" s="13" cm="1">
        <f t="array" ref="I28">IFERROR(INDEX('User Input'!$B$11:$AAD$11, ,_xlfn.XMATCH(B28&amp;C28, 'User Input'!$B$7:$AAD$7&amp;'User Input'!$B$8:$AAD$8)),"")</f>
        <v>18</v>
      </c>
      <c r="J28" s="8">
        <f t="shared" si="3"/>
        <v>18000</v>
      </c>
      <c r="K28">
        <f>'[1]Inflation Factors'!$H26</f>
        <v>1.24648</v>
      </c>
      <c r="L28" s="8">
        <f t="shared" si="4"/>
        <v>34901.440000000002</v>
      </c>
      <c r="N28" s="8">
        <f>IF(L28="","",(C28*L28*(100%-'User Input'!$B$12))+(C28*J28*K28*'User Input'!$B$12))</f>
        <v>39.887360000000001</v>
      </c>
      <c r="P28" s="13">
        <f>IF(AND(Ladder!A28&gt;='User Input'!B$2, Ladder!A28&lt;='User Input'!C$2),Ladder!A28,"")</f>
        <v>2031</v>
      </c>
      <c r="Q28" s="8">
        <f t="shared" si="5"/>
        <v>34901.440000000002</v>
      </c>
      <c r="R28" s="17" cm="1">
        <f t="array" ref="R28">IF(P28="","",IFERROR(INDEX('User Input'!$B$5:$DD$5,,_xlfn.XMATCH(P28,'User Input'!$B$4:$DD$4)),'User Input'!$B$3))</f>
        <v>37000</v>
      </c>
      <c r="S28" s="8">
        <f t="shared" si="6"/>
        <v>9087.1112370000046</v>
      </c>
    </row>
    <row r="29" spans="1:21" x14ac:dyDescent="0.2">
      <c r="A29" s="13" t="str">
        <f t="shared" si="0"/>
        <v/>
      </c>
      <c r="B29" s="2">
        <f>'[1]Inflation Factors'!$C27</f>
        <v>48044</v>
      </c>
      <c r="C29" s="20">
        <f>('[1]Inflation Factors'!$B27)/100</f>
        <v>1.25E-3</v>
      </c>
      <c r="D29" t="str" cm="1">
        <f t="array" ref="D29" xml:space="preserve"> IFERROR(INDEX('User Input'!$B$9:$AAD$9, ,_xlfn.XMATCH(B29&amp;C29, 'User Input'!$B$7:$AAD$7&amp;'User Input'!$B$8:$AAD$8)),"")</f>
        <v/>
      </c>
      <c r="E29" s="8" t="str">
        <f t="shared" si="1"/>
        <v/>
      </c>
      <c r="F29" s="13" t="str" cm="1">
        <f t="array" ref="F29">IFERROR(INDEX('User Input'!$B$10:$AAD$10, ,_xlfn.XMATCH(B29&amp;C29, 'User Input'!$B$7:$AAD$7&amp;'User Input'!$B$8:$AAD$8)),"")</f>
        <v/>
      </c>
      <c r="G29" s="8" t="str">
        <f t="shared" si="2"/>
        <v/>
      </c>
      <c r="H29" s="8" t="str">
        <f>IF(F29="","",F29*1000*(100%-'User Input'!$B$12))</f>
        <v/>
      </c>
      <c r="I29" s="13" t="str" cm="1">
        <f t="array" ref="I29">IFERROR(INDEX('User Input'!$B$11:$AAD$11, ,_xlfn.XMATCH(B29&amp;C29, 'User Input'!$B$7:$AAD$7&amp;'User Input'!$B$8:$AAD$8)),"")</f>
        <v/>
      </c>
      <c r="J29" s="8" t="str">
        <f t="shared" si="3"/>
        <v/>
      </c>
      <c r="K29">
        <f>'[1]Inflation Factors'!$H27</f>
        <v>1.21065</v>
      </c>
      <c r="L29" s="8" t="str">
        <f t="shared" si="4"/>
        <v/>
      </c>
      <c r="N29" s="8" t="str">
        <f>IF(L29="","",(C29*L29*(100%-'User Input'!$B$12))+(C29*J29*K29*'User Input'!$B$12))</f>
        <v/>
      </c>
      <c r="P29" s="13" t="str">
        <f>IF(AND(Ladder!A29&gt;='User Input'!B$2, Ladder!A29&lt;='User Input'!C$2),Ladder!A29,"")</f>
        <v/>
      </c>
      <c r="Q29" s="8" t="str">
        <f t="shared" si="5"/>
        <v/>
      </c>
      <c r="R29" s="17" t="str" cm="1">
        <f t="array" ref="R29">IF(P29="","",IFERROR(INDEX('User Input'!$B$5:$DD$5,,_xlfn.XMATCH(P29,'User Input'!$B$4:$DD$4)),'User Input'!$B$3))</f>
        <v/>
      </c>
      <c r="S29" s="8" t="str">
        <f t="shared" si="6"/>
        <v/>
      </c>
    </row>
    <row r="30" spans="1:21" x14ac:dyDescent="0.2">
      <c r="A30" s="13">
        <f t="shared" si="0"/>
        <v>2032</v>
      </c>
      <c r="B30" s="2">
        <f>'[1]Inflation Factors'!$C28</f>
        <v>48228</v>
      </c>
      <c r="C30" s="20">
        <f>('[1]Inflation Factors'!$B28)/100</f>
        <v>1.25E-3</v>
      </c>
      <c r="D30" t="str" cm="1">
        <f t="array" ref="D30" xml:space="preserve"> IFERROR(INDEX('User Input'!$B$9:$AAD$9, ,_xlfn.XMATCH(B30&amp;C30, 'User Input'!$B$7:$AAD$7&amp;'User Input'!$B$8:$AAD$8)),"")</f>
        <v/>
      </c>
      <c r="E30" s="8" t="str">
        <f t="shared" si="1"/>
        <v/>
      </c>
      <c r="F30" s="13" t="str" cm="1">
        <f t="array" ref="F30">IFERROR(INDEX('User Input'!$B$10:$AAD$10, ,_xlfn.XMATCH(B30&amp;C30, 'User Input'!$B$7:$AAD$7&amp;'User Input'!$B$8:$AAD$8)),"")</f>
        <v/>
      </c>
      <c r="G30" s="8" t="str">
        <f t="shared" si="2"/>
        <v/>
      </c>
      <c r="H30" s="8" t="str">
        <f>IF(F30="","",F30*1000*(100%-'User Input'!$B$12))</f>
        <v/>
      </c>
      <c r="I30" s="13" t="str" cm="1">
        <f t="array" ref="I30">IFERROR(INDEX('User Input'!$B$11:$AAD$11, ,_xlfn.XMATCH(B30&amp;C30, 'User Input'!$B$7:$AAD$7&amp;'User Input'!$B$8:$AAD$8)),"")</f>
        <v/>
      </c>
      <c r="J30" s="8" t="str">
        <f t="shared" si="3"/>
        <v/>
      </c>
      <c r="K30">
        <f>'[1]Inflation Factors'!$H28</f>
        <v>1.17055</v>
      </c>
      <c r="L30" s="8" t="str">
        <f t="shared" si="4"/>
        <v/>
      </c>
      <c r="N30" s="8" t="str">
        <f>IF(L30="","",(C30*L30*(100%-'User Input'!$B$12))+(C30*J30*K30*'User Input'!$B$12))</f>
        <v/>
      </c>
      <c r="P30" s="13">
        <f>IF(AND(Ladder!A30&gt;='User Input'!B$2, Ladder!A30&lt;='User Input'!C$2),Ladder!A30,"")</f>
        <v>2032</v>
      </c>
      <c r="Q30" s="8">
        <f t="shared" si="5"/>
        <v>27420.75</v>
      </c>
      <c r="R30" s="17" cm="1">
        <f t="array" ref="R30">IF(P30="","",IFERROR(INDEX('User Input'!$B$5:$DD$5,,_xlfn.XMATCH(P30,'User Input'!$B$4:$DD$4)),'User Input'!$B$3))</f>
        <v>37000</v>
      </c>
      <c r="S30" s="8">
        <f t="shared" si="6"/>
        <v>1566.5338769999944</v>
      </c>
    </row>
    <row r="31" spans="1:21" x14ac:dyDescent="0.2">
      <c r="A31" s="13" t="str">
        <f t="shared" si="0"/>
        <v/>
      </c>
      <c r="B31" s="2">
        <f>'[1]Inflation Factors'!$C29</f>
        <v>48319</v>
      </c>
      <c r="C31" s="20">
        <f>('[1]Inflation Factors'!$B29)/100</f>
        <v>3.3750000000000002E-2</v>
      </c>
      <c r="D31" cm="1">
        <f t="array" ref="D31" xml:space="preserve"> IFERROR(INDEX('User Input'!$B$9:$AAD$9, ,_xlfn.XMATCH(B31&amp;C31, 'User Input'!$B$7:$AAD$7&amp;'User Input'!$B$8:$AAD$8)),"")</f>
        <v>15</v>
      </c>
      <c r="E31" s="8">
        <f t="shared" si="1"/>
        <v>15000</v>
      </c>
      <c r="F31" s="13" cm="1">
        <f t="array" ref="F31">IFERROR(INDEX('User Input'!$B$10:$AAD$10, ,_xlfn.XMATCH(B31&amp;C31, 'User Input'!$B$7:$AAD$7&amp;'User Input'!$B$8:$AAD$8)),"")</f>
        <v>0</v>
      </c>
      <c r="G31" s="8">
        <f t="shared" si="2"/>
        <v>0</v>
      </c>
      <c r="H31" s="8">
        <f>IF(F31="","",F31*1000*(100%-'User Input'!$B$12))</f>
        <v>0</v>
      </c>
      <c r="I31" s="13" cm="1">
        <f t="array" ref="I31">IFERROR(INDEX('User Input'!$B$11:$AAD$11, ,_xlfn.XMATCH(B31&amp;C31, 'User Input'!$B$7:$AAD$7&amp;'User Input'!$B$8:$AAD$8)),"")</f>
        <v>0</v>
      </c>
      <c r="J31" s="8">
        <f t="shared" si="3"/>
        <v>0</v>
      </c>
      <c r="K31">
        <f>'[1]Inflation Factors'!$H29</f>
        <v>1.82805</v>
      </c>
      <c r="L31" s="8">
        <f t="shared" si="4"/>
        <v>27420.75</v>
      </c>
      <c r="N31" s="8">
        <f>IF(L31="","",(C31*L31*(100%-'User Input'!$B$12))+(C31*J31*K31*'User Input'!$B$12))</f>
        <v>703.34223750000012</v>
      </c>
      <c r="P31" s="13" t="str">
        <f>IF(AND(Ladder!A31&gt;='User Input'!B$2, Ladder!A31&lt;='User Input'!C$2),Ladder!A31,"")</f>
        <v/>
      </c>
      <c r="Q31" s="8" t="str">
        <f t="shared" si="5"/>
        <v/>
      </c>
      <c r="R31" s="17" t="str" cm="1">
        <f t="array" ref="R31">IF(P31="","",IFERROR(INDEX('User Input'!$B$5:$DD$5,,_xlfn.XMATCH(P31,'User Input'!$B$4:$DD$4)),'User Input'!$B$3))</f>
        <v/>
      </c>
      <c r="S31" s="8" t="str">
        <f t="shared" si="6"/>
        <v/>
      </c>
    </row>
    <row r="32" spans="1:21" x14ac:dyDescent="0.2">
      <c r="A32" s="13" t="str">
        <f t="shared" si="0"/>
        <v/>
      </c>
      <c r="B32" s="2">
        <f>'[1]Inflation Factors'!$C30</f>
        <v>48410</v>
      </c>
      <c r="C32" s="20">
        <f>('[1]Inflation Factors'!$B30)/100</f>
        <v>6.2500000000000003E-3</v>
      </c>
      <c r="D32" t="str" cm="1">
        <f t="array" ref="D32" xml:space="preserve"> IFERROR(INDEX('User Input'!$B$9:$AAD$9, ,_xlfn.XMATCH(B32&amp;C32, 'User Input'!$B$7:$AAD$7&amp;'User Input'!$B$8:$AAD$8)),"")</f>
        <v/>
      </c>
      <c r="E32" s="8" t="str">
        <f t="shared" si="1"/>
        <v/>
      </c>
      <c r="F32" s="13" t="str" cm="1">
        <f t="array" ref="F32">IFERROR(INDEX('User Input'!$B$10:$AAD$10, ,_xlfn.XMATCH(B32&amp;C32, 'User Input'!$B$7:$AAD$7&amp;'User Input'!$B$8:$AAD$8)),"")</f>
        <v/>
      </c>
      <c r="G32" s="8" t="str">
        <f t="shared" si="2"/>
        <v/>
      </c>
      <c r="H32" s="8" t="str">
        <f>IF(F32="","",F32*1000*(100%-'User Input'!$B$12))</f>
        <v/>
      </c>
      <c r="I32" s="13" t="str" cm="1">
        <f t="array" ref="I32">IFERROR(INDEX('User Input'!$B$11:$AAD$11, ,_xlfn.XMATCH(B32&amp;C32, 'User Input'!$B$7:$AAD$7&amp;'User Input'!$B$8:$AAD$8)),"")</f>
        <v/>
      </c>
      <c r="J32" s="8" t="str">
        <f t="shared" si="3"/>
        <v/>
      </c>
      <c r="K32">
        <f>'[1]Inflation Factors'!$H30</f>
        <v>1.1167800000000001</v>
      </c>
      <c r="L32" s="8" t="str">
        <f t="shared" si="4"/>
        <v/>
      </c>
      <c r="N32" s="8" t="str">
        <f>IF(L32="","",(C32*L32*(100%-'User Input'!$B$12))+(C32*J32*K32*'User Input'!$B$12))</f>
        <v/>
      </c>
      <c r="P32" s="13" t="str">
        <f>IF(AND(Ladder!A32&gt;='User Input'!B$2, Ladder!A32&lt;='User Input'!C$2),Ladder!A32,"")</f>
        <v/>
      </c>
      <c r="Q32" s="8" t="str">
        <f t="shared" si="5"/>
        <v/>
      </c>
      <c r="R32" s="17" t="str" cm="1">
        <f t="array" ref="R32">IF(P32="","",IFERROR(INDEX('User Input'!$B$5:$DD$5,,_xlfn.XMATCH(P32,'User Input'!$B$4:$DD$4)),'User Input'!$B$3))</f>
        <v/>
      </c>
      <c r="S32" s="8" t="str">
        <f t="shared" si="6"/>
        <v/>
      </c>
    </row>
    <row r="33" spans="1:19" x14ac:dyDescent="0.2">
      <c r="A33" s="13">
        <f t="shared" si="0"/>
        <v>2033</v>
      </c>
      <c r="B33" s="2">
        <f>'[1]Inflation Factors'!$C31</f>
        <v>48594</v>
      </c>
      <c r="C33" s="20">
        <f>('[1]Inflation Factors'!$B31)/100</f>
        <v>1.125E-2</v>
      </c>
      <c r="D33" cm="1">
        <f t="array" ref="D33" xml:space="preserve"> IFERROR(INDEX('User Input'!$B$9:$AAD$9, ,_xlfn.XMATCH(B33&amp;C33, 'User Input'!$B$7:$AAD$7&amp;'User Input'!$B$8:$AAD$8)),"")</f>
        <v>19</v>
      </c>
      <c r="E33" s="8">
        <f t="shared" si="1"/>
        <v>19000</v>
      </c>
      <c r="F33" s="13" cm="1">
        <f t="array" ref="F33">IFERROR(INDEX('User Input'!$B$10:$AAD$10, ,_xlfn.XMATCH(B33&amp;C33, 'User Input'!$B$7:$AAD$7&amp;'User Input'!$B$8:$AAD$8)),"")</f>
        <v>24</v>
      </c>
      <c r="G33" s="8">
        <f t="shared" si="2"/>
        <v>24000</v>
      </c>
      <c r="H33" s="8">
        <f>IF(F33="","",F33*1000*(100%-'User Input'!$B$12))</f>
        <v>18240</v>
      </c>
      <c r="I33" s="13" cm="1">
        <f t="array" ref="I33">IFERROR(INDEX('User Input'!$B$11:$AAD$11, ,_xlfn.XMATCH(B33&amp;C33, 'User Input'!$B$7:$AAD$7&amp;'User Input'!$B$8:$AAD$8)),"")</f>
        <v>0</v>
      </c>
      <c r="J33" s="8">
        <f t="shared" si="3"/>
        <v>0</v>
      </c>
      <c r="K33">
        <f>'[1]Inflation Factors'!$H31</f>
        <v>1.08931</v>
      </c>
      <c r="L33" s="8">
        <f t="shared" si="4"/>
        <v>46840.33</v>
      </c>
      <c r="N33" s="8">
        <f>IF(L33="","",(C33*L33*(100%-'User Input'!$B$12))+(C33*J33*K33*'User Input'!$B$12))</f>
        <v>400.48482150000007</v>
      </c>
      <c r="P33" s="13">
        <f>IF(AND(Ladder!A33&gt;='User Input'!B$2, Ladder!A33&lt;='User Input'!C$2),Ladder!A33,"")</f>
        <v>2033</v>
      </c>
      <c r="Q33" s="8">
        <f t="shared" si="5"/>
        <v>46840.33</v>
      </c>
      <c r="R33" s="17" cm="1">
        <f t="array" ref="R33">IF(P33="","",IFERROR(INDEX('User Input'!$B$5:$DD$5,,_xlfn.XMATCH(P33,'User Input'!$B$4:$DD$4)),'User Input'!$B$3))</f>
        <v>37000</v>
      </c>
      <c r="S33" s="8">
        <f t="shared" si="6"/>
        <v>20282.771639500002</v>
      </c>
    </row>
    <row r="34" spans="1:19" x14ac:dyDescent="0.2">
      <c r="A34" s="13" t="str">
        <f t="shared" si="0"/>
        <v/>
      </c>
      <c r="B34" s="2">
        <f>'[1]Inflation Factors'!$C32</f>
        <v>48775</v>
      </c>
      <c r="C34" s="20">
        <f>('[1]Inflation Factors'!$B32)/100</f>
        <v>1.375E-2</v>
      </c>
      <c r="D34" t="str" cm="1">
        <f t="array" ref="D34" xml:space="preserve"> IFERROR(INDEX('User Input'!$B$9:$AAD$9, ,_xlfn.XMATCH(B34&amp;C34, 'User Input'!$B$7:$AAD$7&amp;'User Input'!$B$8:$AAD$8)),"")</f>
        <v/>
      </c>
      <c r="E34" s="8" t="str">
        <f t="shared" si="1"/>
        <v/>
      </c>
      <c r="F34" s="13" t="str" cm="1">
        <f t="array" ref="F34">IFERROR(INDEX('User Input'!$B$10:$AAD$10, ,_xlfn.XMATCH(B34&amp;C34, 'User Input'!$B$7:$AAD$7&amp;'User Input'!$B$8:$AAD$8)),"")</f>
        <v/>
      </c>
      <c r="G34" s="8" t="str">
        <f t="shared" si="2"/>
        <v/>
      </c>
      <c r="H34" s="8" t="str">
        <f>IF(F34="","",F34*1000*(100%-'User Input'!$B$12))</f>
        <v/>
      </c>
      <c r="I34" s="13" t="str" cm="1">
        <f t="array" ref="I34">IFERROR(INDEX('User Input'!$B$11:$AAD$11, ,_xlfn.XMATCH(B34&amp;C34, 'User Input'!$B$7:$AAD$7&amp;'User Input'!$B$8:$AAD$8)),"")</f>
        <v/>
      </c>
      <c r="J34" s="8" t="str">
        <f t="shared" si="3"/>
        <v/>
      </c>
      <c r="K34">
        <f>'[1]Inflation Factors'!$H32</f>
        <v>1.06839</v>
      </c>
      <c r="L34" s="8" t="str">
        <f t="shared" si="4"/>
        <v/>
      </c>
      <c r="N34" s="8" t="str">
        <f>IF(L34="","",(C34*L34*(100%-'User Input'!$B$12))+(C34*J34*K34*'User Input'!$B$12))</f>
        <v/>
      </c>
      <c r="P34" s="13" t="str">
        <f>IF(AND(Ladder!A34&gt;='User Input'!B$2, Ladder!A34&lt;='User Input'!C$2),Ladder!A34,"")</f>
        <v/>
      </c>
      <c r="Q34" s="8" t="str">
        <f t="shared" si="5"/>
        <v/>
      </c>
      <c r="R34" s="17" t="str" cm="1">
        <f t="array" ref="R34">IF(P34="","",IFERROR(INDEX('User Input'!$B$5:$DD$5,,_xlfn.XMATCH(P34,'User Input'!$B$4:$DD$4)),'User Input'!$B$3))</f>
        <v/>
      </c>
      <c r="S34" s="8" t="str">
        <f t="shared" si="6"/>
        <v/>
      </c>
    </row>
    <row r="35" spans="1:19" x14ac:dyDescent="0.2">
      <c r="A35" s="13">
        <f t="shared" si="0"/>
        <v>2034</v>
      </c>
      <c r="B35" s="2">
        <f>'[1]Inflation Factors'!$C33</f>
        <v>48959</v>
      </c>
      <c r="C35" s="20">
        <f>('[1]Inflation Factors'!$B33)/100</f>
        <v>1.7500000000000002E-2</v>
      </c>
      <c r="D35" cm="1">
        <f t="array" ref="D35" xml:space="preserve"> IFERROR(INDEX('User Input'!$B$9:$AAD$9, ,_xlfn.XMATCH(B35&amp;C35, 'User Input'!$B$7:$AAD$7&amp;'User Input'!$B$8:$AAD$8)),"")</f>
        <v>0</v>
      </c>
      <c r="E35" s="8">
        <f t="shared" si="1"/>
        <v>0</v>
      </c>
      <c r="F35" s="13" cm="1">
        <f t="array" ref="F35">IFERROR(INDEX('User Input'!$B$10:$AAD$10, ,_xlfn.XMATCH(B35&amp;C35, 'User Input'!$B$7:$AAD$7&amp;'User Input'!$B$8:$AAD$8)),"")</f>
        <v>0</v>
      </c>
      <c r="G35" s="8">
        <f t="shared" si="2"/>
        <v>0</v>
      </c>
      <c r="H35" s="8">
        <f>IF(F35="","",F35*1000*(100%-'User Input'!$B$12))</f>
        <v>0</v>
      </c>
      <c r="I35" s="13" cm="1">
        <f t="array" ref="I35">IFERROR(INDEX('User Input'!$B$11:$AAD$11, ,_xlfn.XMATCH(B35&amp;C35, 'User Input'!$B$7:$AAD$7&amp;'User Input'!$B$8:$AAD$8)),"")</f>
        <v>34</v>
      </c>
      <c r="J35" s="8">
        <f t="shared" si="3"/>
        <v>34000</v>
      </c>
      <c r="K35">
        <f>'[1]Inflation Factors'!$H33</f>
        <v>1.05559</v>
      </c>
      <c r="L35" s="8">
        <f t="shared" si="4"/>
        <v>35890.06</v>
      </c>
      <c r="N35" s="8">
        <f>IF(L35="","",(C35*L35*(100%-'User Input'!$B$12))+(C35*J35*K35*'User Input'!$B$12))</f>
        <v>628.07605000000001</v>
      </c>
      <c r="P35" s="13">
        <f>IF(AND(Ladder!A35&gt;='User Input'!B$2, Ladder!A35&lt;='User Input'!C$2),Ladder!A35,"")</f>
        <v>2034</v>
      </c>
      <c r="Q35" s="8">
        <f t="shared" si="5"/>
        <v>35890.06</v>
      </c>
      <c r="R35" s="17" cm="1">
        <f t="array" ref="R35">IF(P35="","",IFERROR(INDEX('User Input'!$B$5:$DD$5,,_xlfn.XMATCH(P35,'User Input'!$B$4:$DD$4)),'User Input'!$B$3))</f>
        <v>37000</v>
      </c>
      <c r="S35" s="8">
        <f t="shared" si="6"/>
        <v>8932.0168179999964</v>
      </c>
    </row>
    <row r="36" spans="1:19" x14ac:dyDescent="0.2">
      <c r="A36" s="13" t="str">
        <f t="shared" si="0"/>
        <v/>
      </c>
      <c r="B36" s="2">
        <f>'[1]Inflation Factors'!$C34</f>
        <v>49140</v>
      </c>
      <c r="C36" s="20">
        <f>('[1]Inflation Factors'!$B34)/100</f>
        <v>1.8749999999999999E-2</v>
      </c>
      <c r="D36" t="str" cm="1">
        <f t="array" ref="D36" xml:space="preserve"> IFERROR(INDEX('User Input'!$B$9:$AAD$9, ,_xlfn.XMATCH(B36&amp;C36, 'User Input'!$B$7:$AAD$7&amp;'User Input'!$B$8:$AAD$8)),"")</f>
        <v/>
      </c>
      <c r="E36" s="8" t="str">
        <f t="shared" si="1"/>
        <v/>
      </c>
      <c r="F36" s="13" t="str" cm="1">
        <f t="array" ref="F36">IFERROR(INDEX('User Input'!$B$10:$AAD$10, ,_xlfn.XMATCH(B36&amp;C36, 'User Input'!$B$7:$AAD$7&amp;'User Input'!$B$8:$AAD$8)),"")</f>
        <v/>
      </c>
      <c r="G36" s="8" t="str">
        <f t="shared" si="2"/>
        <v/>
      </c>
      <c r="H36" s="8" t="str">
        <f>IF(F36="","",F36*1000*(100%-'User Input'!$B$12))</f>
        <v/>
      </c>
      <c r="I36" s="13" t="str" cm="1">
        <f t="array" ref="I36">IFERROR(INDEX('User Input'!$B$11:$AAD$11, ,_xlfn.XMATCH(B36&amp;C36, 'User Input'!$B$7:$AAD$7&amp;'User Input'!$B$8:$AAD$8)),"")</f>
        <v/>
      </c>
      <c r="J36" s="8" t="str">
        <f t="shared" si="3"/>
        <v/>
      </c>
      <c r="K36">
        <f>'[1]Inflation Factors'!$H34</f>
        <v>1.03409</v>
      </c>
      <c r="L36" s="8" t="str">
        <f t="shared" si="4"/>
        <v/>
      </c>
      <c r="N36" s="8" t="str">
        <f>IF(L36="","",(C36*L36*(100%-'User Input'!$B$12))+(C36*J36*K36*'User Input'!$B$12))</f>
        <v/>
      </c>
      <c r="P36" s="13" t="str">
        <f>IF(AND(Ladder!A36&gt;='User Input'!B$2, Ladder!A36&lt;='User Input'!C$2),Ladder!A36,"")</f>
        <v/>
      </c>
      <c r="Q36" s="8" t="str">
        <f t="shared" si="5"/>
        <v/>
      </c>
      <c r="R36" s="17" t="str" cm="1">
        <f t="array" ref="R36">IF(P36="","",IFERROR(INDEX('User Input'!$B$5:$DD$5,,_xlfn.XMATCH(P36,'User Input'!$B$4:$DD$4)),'User Input'!$B$3))</f>
        <v/>
      </c>
      <c r="S36" s="8" t="str">
        <f t="shared" si="6"/>
        <v/>
      </c>
    </row>
    <row r="37" spans="1:19" x14ac:dyDescent="0.2">
      <c r="A37" s="13">
        <f t="shared" si="0"/>
        <v>2035</v>
      </c>
      <c r="B37" s="2">
        <f>'[1]Inflation Factors'!$C35</f>
        <v>49324</v>
      </c>
      <c r="C37" s="20">
        <f>('[1]Inflation Factors'!$B35)/100</f>
        <v>2.1250000000000002E-2</v>
      </c>
      <c r="D37" cm="1">
        <f t="array" ref="D37" xml:space="preserve"> IFERROR(INDEX('User Input'!$B$9:$AAD$9, ,_xlfn.XMATCH(B37&amp;C37, 'User Input'!$B$7:$AAD$7&amp;'User Input'!$B$8:$AAD$8)),"")</f>
        <v>0</v>
      </c>
      <c r="E37" s="8">
        <f t="shared" si="1"/>
        <v>0</v>
      </c>
      <c r="F37" s="13" cm="1">
        <f t="array" ref="F37">IFERROR(INDEX('User Input'!$B$10:$AAD$10, ,_xlfn.XMATCH(B37&amp;C37, 'User Input'!$B$7:$AAD$7&amp;'User Input'!$B$8:$AAD$8)),"")</f>
        <v>33</v>
      </c>
      <c r="G37" s="8">
        <f t="shared" si="2"/>
        <v>33000</v>
      </c>
      <c r="H37" s="8">
        <f>IF(F37="","",F37*1000*(100%-'User Input'!$B$12))</f>
        <v>25080</v>
      </c>
      <c r="I37" s="13" cm="1">
        <f t="array" ref="I37">IFERROR(INDEX('User Input'!$B$11:$AAD$11, ,_xlfn.XMATCH(B37&amp;C37, 'User Input'!$B$7:$AAD$7&amp;'User Input'!$B$8:$AAD$8)),"")</f>
        <v>0</v>
      </c>
      <c r="J37" s="8">
        <f t="shared" si="3"/>
        <v>0</v>
      </c>
      <c r="K37">
        <f>'[1]Inflation Factors'!$H35</f>
        <v>1.0281800000000001</v>
      </c>
      <c r="L37" s="8">
        <f t="shared" si="4"/>
        <v>33929.94</v>
      </c>
      <c r="N37" s="8">
        <f>IF(L37="","",(C37*L37*(100%-'User Input'!$B$12))+(C37*J37*K37*'User Input'!$B$12))</f>
        <v>547.9685310000001</v>
      </c>
      <c r="P37" s="13">
        <f>IF(AND(Ladder!A37&gt;='User Input'!B$2, Ladder!A37&lt;='User Input'!C$2),Ladder!A37,"")</f>
        <v>2035</v>
      </c>
      <c r="Q37" s="8">
        <f t="shared" si="5"/>
        <v>33929.94</v>
      </c>
      <c r="R37" s="17" cm="1">
        <f t="array" ref="R37">IF(P37="","",IFERROR(INDEX('User Input'!$B$5:$DD$5,,_xlfn.XMATCH(P37,'User Input'!$B$4:$DD$4)),'User Input'!$B$3))</f>
        <v>37000</v>
      </c>
      <c r="S37" s="8">
        <f t="shared" si="6"/>
        <v>6343.820768000005</v>
      </c>
    </row>
    <row r="38" spans="1:19" x14ac:dyDescent="0.2">
      <c r="A38" s="13" t="str">
        <f t="shared" si="0"/>
        <v/>
      </c>
      <c r="B38" s="2">
        <f>'[1]Inflation Factors'!$C36</f>
        <v>49505</v>
      </c>
      <c r="C38" s="20">
        <f>('[1]Inflation Factors'!$B36)/100</f>
        <v>1.8749999999999999E-2</v>
      </c>
      <c r="D38" t="str" cm="1">
        <f t="array" ref="D38" xml:space="preserve"> IFERROR(INDEX('User Input'!$B$9:$AAD$9, ,_xlfn.XMATCH(B38&amp;C38, 'User Input'!$B$7:$AAD$7&amp;'User Input'!$B$8:$AAD$8)),"")</f>
        <v/>
      </c>
      <c r="E38" s="8" t="str">
        <f t="shared" si="1"/>
        <v/>
      </c>
      <c r="F38" s="13" t="str" cm="1">
        <f t="array" ref="F38">IFERROR(INDEX('User Input'!$B$10:$AAD$10, ,_xlfn.XMATCH(B38&amp;C38, 'User Input'!$B$7:$AAD$7&amp;'User Input'!$B$8:$AAD$8)),"")</f>
        <v/>
      </c>
      <c r="G38" s="8" t="str">
        <f t="shared" si="2"/>
        <v/>
      </c>
      <c r="H38" s="8" t="str">
        <f>IF(F38="","",F38*1000*(100%-'User Input'!$B$12))</f>
        <v/>
      </c>
      <c r="I38" s="13" t="str" cm="1">
        <f t="array" ref="I38">IFERROR(INDEX('User Input'!$B$11:$AAD$11, ,_xlfn.XMATCH(B38&amp;C38, 'User Input'!$B$7:$AAD$7&amp;'User Input'!$B$8:$AAD$8)),"")</f>
        <v/>
      </c>
      <c r="J38" s="8" t="str">
        <f t="shared" si="3"/>
        <v/>
      </c>
      <c r="K38">
        <f>'[1]Inflation Factors'!$H36</f>
        <v>1.0105299999999999</v>
      </c>
      <c r="L38" s="8" t="str">
        <f t="shared" si="4"/>
        <v/>
      </c>
      <c r="N38" s="8" t="str">
        <f>IF(L38="","",(C38*L38*(100%-'User Input'!$B$12))+(C38*J38*K38*'User Input'!$B$12))</f>
        <v/>
      </c>
      <c r="P38" s="13" t="str">
        <f>IF(AND(Ladder!A38&gt;='User Input'!B$2, Ladder!A38&lt;='User Input'!C$2),Ladder!A38,"")</f>
        <v/>
      </c>
      <c r="Q38" s="8" t="str">
        <f t="shared" si="5"/>
        <v/>
      </c>
      <c r="R38" s="17" t="str" cm="1">
        <f t="array" ref="R38">IF(P38="","",IFERROR(INDEX('User Input'!$B$5:$DD$5,,_xlfn.XMATCH(P38,'User Input'!$B$4:$DD$4)),'User Input'!$B$3))</f>
        <v/>
      </c>
      <c r="S38" s="8" t="str">
        <f t="shared" si="6"/>
        <v/>
      </c>
    </row>
    <row r="39" spans="1:19" x14ac:dyDescent="0.2">
      <c r="A39" s="13">
        <f t="shared" si="0"/>
        <v>2036</v>
      </c>
      <c r="B39" s="2">
        <f>'[1]Inflation Factors'!$C37</f>
        <v>49689</v>
      </c>
      <c r="C39" s="20">
        <f>('[1]Inflation Factors'!$B37)/100</f>
        <v>1.8749999999999999E-2</v>
      </c>
      <c r="D39" cm="1">
        <f t="array" ref="D39" xml:space="preserve"> IFERROR(INDEX('User Input'!$B$9:$AAD$9, ,_xlfn.XMATCH(B39&amp;C39, 'User Input'!$B$7:$AAD$7&amp;'User Input'!$B$8:$AAD$8)),"")</f>
        <v>0</v>
      </c>
      <c r="E39" s="8">
        <f t="shared" si="1"/>
        <v>0</v>
      </c>
      <c r="F39" s="13" cm="1">
        <f t="array" ref="F39">IFERROR(INDEX('User Input'!$B$10:$AAD$10, ,_xlfn.XMATCH(B39&amp;C39, 'User Input'!$B$7:$AAD$7&amp;'User Input'!$B$8:$AAD$8)),"")</f>
        <v>39</v>
      </c>
      <c r="G39" s="8">
        <f t="shared" si="2"/>
        <v>39000</v>
      </c>
      <c r="H39" s="8">
        <f>IF(F39="","",F39*1000*(100%-'User Input'!$B$12))</f>
        <v>29640</v>
      </c>
      <c r="I39" s="13" cm="1">
        <f t="array" ref="I39">IFERROR(INDEX('User Input'!$B$11:$AAD$11, ,_xlfn.XMATCH(B39&amp;C39, 'User Input'!$B$7:$AAD$7&amp;'User Input'!$B$8:$AAD$8)),"")</f>
        <v>0</v>
      </c>
      <c r="J39" s="8">
        <f t="shared" si="3"/>
        <v>0</v>
      </c>
      <c r="K39">
        <f>'[1]Inflation Factors'!$H37</f>
        <v>0.99860000000000004</v>
      </c>
      <c r="L39" s="8">
        <f t="shared" si="4"/>
        <v>38945.4</v>
      </c>
      <c r="N39" s="8">
        <f>IF(L39="","",(C39*L39*(100%-'User Input'!$B$12))+(C39*J39*K39*'User Input'!$B$12))</f>
        <v>554.97194999999999</v>
      </c>
      <c r="P39" s="13">
        <f>IF(AND(Ladder!A39&gt;='User Input'!B$2, Ladder!A39&lt;='User Input'!C$2),Ladder!A39,"")</f>
        <v>2036</v>
      </c>
      <c r="Q39" s="8">
        <f t="shared" si="5"/>
        <v>38945.4</v>
      </c>
      <c r="R39" s="17" cm="1">
        <f t="array" ref="R39">IF(P39="","",IFERROR(INDEX('User Input'!$B$5:$DD$5,,_xlfn.XMATCH(P39,'User Input'!$B$4:$DD$4)),'User Input'!$B$3))</f>
        <v>37000</v>
      </c>
      <c r="S39" s="8">
        <f t="shared" si="6"/>
        <v>10811.312237000006</v>
      </c>
    </row>
    <row r="40" spans="1:19" x14ac:dyDescent="0.2">
      <c r="A40" s="13">
        <f t="shared" si="0"/>
        <v>2040</v>
      </c>
      <c r="B40" s="2">
        <f>'[1]Inflation Factors'!$C38</f>
        <v>51181</v>
      </c>
      <c r="C40" s="20">
        <f>('[1]Inflation Factors'!$B38)/100</f>
        <v>2.1250000000000002E-2</v>
      </c>
      <c r="D40" cm="1">
        <f t="array" ref="D40" xml:space="preserve"> IFERROR(INDEX('User Input'!$B$9:$AAD$9, ,_xlfn.XMATCH(B40&amp;C40, 'User Input'!$B$7:$AAD$7&amp;'User Input'!$B$8:$AAD$8)),"")</f>
        <v>0</v>
      </c>
      <c r="E40" s="8">
        <f t="shared" si="1"/>
        <v>0</v>
      </c>
      <c r="F40" s="13" cm="1">
        <f t="array" ref="F40">IFERROR(INDEX('User Input'!$B$10:$AAD$10, ,_xlfn.XMATCH(B40&amp;C40, 'User Input'!$B$7:$AAD$7&amp;'User Input'!$B$8:$AAD$8)),"")</f>
        <v>131</v>
      </c>
      <c r="G40" s="8">
        <f t="shared" si="2"/>
        <v>131000</v>
      </c>
      <c r="H40" s="8">
        <f>IF(F40="","",F40*1000*(100%-'User Input'!$B$12))</f>
        <v>99560</v>
      </c>
      <c r="I40" s="13" cm="1">
        <f t="array" ref="I40">IFERROR(INDEX('User Input'!$B$11:$AAD$11, ,_xlfn.XMATCH(B40&amp;C40, 'User Input'!$B$7:$AAD$7&amp;'User Input'!$B$8:$AAD$8)),"")</f>
        <v>0</v>
      </c>
      <c r="J40" s="8">
        <f t="shared" si="3"/>
        <v>0</v>
      </c>
      <c r="K40">
        <f>'[1]Inflation Factors'!$H38</f>
        <v>1.50125</v>
      </c>
      <c r="L40" s="8">
        <f t="shared" si="4"/>
        <v>196663.75</v>
      </c>
      <c r="N40" s="8">
        <f>IF(L40="","",(C40*L40*(100%-'User Input'!$B$12))+(C40*J40*K40*'User Input'!$B$12))</f>
        <v>3176.1195625</v>
      </c>
      <c r="P40" s="13">
        <f>IF(AND(Ladder!A40&gt;='User Input'!B$2, Ladder!A40&lt;='User Input'!C$2),Ladder!A40,"")</f>
        <v>2040</v>
      </c>
      <c r="Q40" s="8">
        <f t="shared" si="5"/>
        <v>196663.75</v>
      </c>
      <c r="R40" s="17" cm="1">
        <f t="array" ref="R40">IF(P40="","",IFERROR(INDEX('User Input'!$B$5:$DD$5,,_xlfn.XMATCH(P40,'User Input'!$B$4:$DD$4)),'User Input'!$B$3))</f>
        <v>148000</v>
      </c>
      <c r="S40" s="8">
        <f t="shared" si="6"/>
        <v>56974.690287000005</v>
      </c>
    </row>
    <row r="41" spans="1:19" x14ac:dyDescent="0.2">
      <c r="A41" s="13">
        <f t="shared" si="0"/>
        <v>2041</v>
      </c>
      <c r="B41" s="2">
        <f>'[1]Inflation Factors'!$C39</f>
        <v>51547</v>
      </c>
      <c r="C41" s="20">
        <f>('[1]Inflation Factors'!$B39)/100</f>
        <v>2.1250000000000002E-2</v>
      </c>
      <c r="D41" cm="1">
        <f t="array" ref="D41" xml:space="preserve"> IFERROR(INDEX('User Input'!$B$9:$AAD$9, ,_xlfn.XMATCH(B41&amp;C41, 'User Input'!$B$7:$AAD$7&amp;'User Input'!$B$8:$AAD$8)),"")</f>
        <v>0</v>
      </c>
      <c r="E41" s="8">
        <f t="shared" si="1"/>
        <v>0</v>
      </c>
      <c r="F41" s="13" cm="1">
        <f t="array" ref="F41">IFERROR(INDEX('User Input'!$B$10:$AAD$10, ,_xlfn.XMATCH(B41&amp;C41, 'User Input'!$B$7:$AAD$7&amp;'User Input'!$B$8:$AAD$8)),"")</f>
        <v>30</v>
      </c>
      <c r="G41" s="8">
        <f t="shared" si="2"/>
        <v>30000</v>
      </c>
      <c r="H41" s="8">
        <f>IF(F41="","",F41*1000*(100%-'User Input'!$B$12))</f>
        <v>22800</v>
      </c>
      <c r="I41" s="13" cm="1">
        <f t="array" ref="I41">IFERROR(INDEX('User Input'!$B$11:$AAD$11, ,_xlfn.XMATCH(B41&amp;C41, 'User Input'!$B$7:$AAD$7&amp;'User Input'!$B$8:$AAD$8)),"")</f>
        <v>0</v>
      </c>
      <c r="J41" s="8">
        <f t="shared" si="3"/>
        <v>0</v>
      </c>
      <c r="K41">
        <f>'[1]Inflation Factors'!$H39</f>
        <v>1.4817</v>
      </c>
      <c r="L41" s="8">
        <f t="shared" si="4"/>
        <v>44451</v>
      </c>
      <c r="N41" s="8">
        <f>IF(L41="","",(C41*L41*(100%-'User Input'!$B$12))+(C41*J41*K41*'User Input'!$B$12))</f>
        <v>717.8836500000001</v>
      </c>
      <c r="P41" s="13">
        <f>IF(AND(Ladder!A41&gt;='User Input'!B$2, Ladder!A41&lt;='User Input'!C$2),Ladder!A41,"")</f>
        <v>2041</v>
      </c>
      <c r="Q41" s="8">
        <f t="shared" si="5"/>
        <v>44451</v>
      </c>
      <c r="R41" s="17" cm="1">
        <f t="array" ref="R41">IF(P41="","",IFERROR(INDEX('User Input'!$B$5:$DD$5,,_xlfn.XMATCH(P41,'User Input'!$B$4:$DD$4)),'User Input'!$B$3))</f>
        <v>37000</v>
      </c>
      <c r="S41" s="8">
        <f t="shared" si="6"/>
        <v>12585.820724500001</v>
      </c>
    </row>
    <row r="42" spans="1:19" x14ac:dyDescent="0.2">
      <c r="A42" s="13">
        <f t="shared" si="0"/>
        <v>2042</v>
      </c>
      <c r="B42" s="2">
        <f>'[1]Inflation Factors'!$C40</f>
        <v>51912</v>
      </c>
      <c r="C42" s="20">
        <f>('[1]Inflation Factors'!$B40)/100</f>
        <v>7.4999999999999997E-3</v>
      </c>
      <c r="D42" cm="1">
        <f t="array" ref="D42" xml:space="preserve"> IFERROR(INDEX('User Input'!$B$9:$AAD$9, ,_xlfn.XMATCH(B42&amp;C42, 'User Input'!$B$7:$AAD$7&amp;'User Input'!$B$8:$AAD$8)),"")</f>
        <v>9</v>
      </c>
      <c r="E42" s="8">
        <f t="shared" si="1"/>
        <v>9000</v>
      </c>
      <c r="F42" s="13" cm="1">
        <f t="array" ref="F42">IFERROR(INDEX('User Input'!$B$10:$AAD$10, ,_xlfn.XMATCH(B42&amp;C42, 'User Input'!$B$7:$AAD$7&amp;'User Input'!$B$8:$AAD$8)),"")</f>
        <v>20</v>
      </c>
      <c r="G42" s="8">
        <f t="shared" si="2"/>
        <v>20000</v>
      </c>
      <c r="H42" s="8">
        <f>IF(F42="","",F42*1000*(100%-'User Input'!$B$12))</f>
        <v>15200</v>
      </c>
      <c r="I42" s="13" cm="1">
        <f t="array" ref="I42">IFERROR(INDEX('User Input'!$B$11:$AAD$11, ,_xlfn.XMATCH(B42&amp;C42, 'User Input'!$B$7:$AAD$7&amp;'User Input'!$B$8:$AAD$8)),"")</f>
        <v>0</v>
      </c>
      <c r="J42" s="8">
        <f t="shared" si="3"/>
        <v>0</v>
      </c>
      <c r="K42">
        <f>'[1]Inflation Factors'!$H40</f>
        <v>1.4359999999999999</v>
      </c>
      <c r="L42" s="8">
        <f t="shared" si="4"/>
        <v>41644</v>
      </c>
      <c r="N42" s="8">
        <f>IF(L42="","",(C42*L42*(100%-'User Input'!$B$12))+(C42*J42*K42*'User Input'!$B$12))</f>
        <v>237.3708</v>
      </c>
      <c r="P42" s="13">
        <f>IF(AND(Ladder!A42&gt;='User Input'!B$2, Ladder!A42&lt;='User Input'!C$2),Ladder!A42,"")</f>
        <v>2042</v>
      </c>
      <c r="Q42" s="8">
        <f t="shared" si="5"/>
        <v>41644</v>
      </c>
      <c r="R42" s="17" cm="1">
        <f t="array" ref="R42">IF(P42="","",IFERROR(INDEX('User Input'!$B$5:$DD$5,,_xlfn.XMATCH(P42,'User Input'!$B$4:$DD$4)),'User Input'!$B$3))</f>
        <v>37000</v>
      </c>
      <c r="S42" s="8">
        <f t="shared" si="6"/>
        <v>9060.9370744999978</v>
      </c>
    </row>
    <row r="43" spans="1:19" x14ac:dyDescent="0.2">
      <c r="A43" s="13">
        <f t="shared" si="0"/>
        <v>2043</v>
      </c>
      <c r="B43" s="2">
        <f>'[1]Inflation Factors'!$C41</f>
        <v>52277</v>
      </c>
      <c r="C43" s="20">
        <f>('[1]Inflation Factors'!$B41)/100</f>
        <v>6.2500000000000003E-3</v>
      </c>
      <c r="D43" cm="1">
        <f t="array" ref="D43" xml:space="preserve"> IFERROR(INDEX('User Input'!$B$9:$AAD$9, ,_xlfn.XMATCH(B43&amp;C43, 'User Input'!$B$7:$AAD$7&amp;'User Input'!$B$8:$AAD$8)),"")</f>
        <v>15</v>
      </c>
      <c r="E43" s="8">
        <f t="shared" si="1"/>
        <v>15000</v>
      </c>
      <c r="F43" s="13" cm="1">
        <f t="array" ref="F43">IFERROR(INDEX('User Input'!$B$10:$AAD$10, ,_xlfn.XMATCH(B43&amp;C43, 'User Input'!$B$7:$AAD$7&amp;'User Input'!$B$8:$AAD$8)),"")</f>
        <v>13</v>
      </c>
      <c r="G43" s="8">
        <f t="shared" si="2"/>
        <v>13000</v>
      </c>
      <c r="H43" s="8">
        <f>IF(F43="","",F43*1000*(100%-'User Input'!$B$12))</f>
        <v>9880</v>
      </c>
      <c r="I43" s="13" cm="1">
        <f t="array" ref="I43">IFERROR(INDEX('User Input'!$B$11:$AAD$11, ,_xlfn.XMATCH(B43&amp;C43, 'User Input'!$B$7:$AAD$7&amp;'User Input'!$B$8:$AAD$8)),"")</f>
        <v>0</v>
      </c>
      <c r="J43" s="8">
        <f t="shared" si="3"/>
        <v>0</v>
      </c>
      <c r="K43">
        <f>'[1]Inflation Factors'!$H41</f>
        <v>1.4113199999999999</v>
      </c>
      <c r="L43" s="8">
        <f t="shared" si="4"/>
        <v>39516.959999999999</v>
      </c>
      <c r="N43" s="8">
        <f>IF(L43="","",(C43*L43*(100%-'User Input'!$B$12))+(C43*J43*K43*'User Input'!$B$12))</f>
        <v>187.70555999999999</v>
      </c>
      <c r="P43" s="13">
        <f>IF(AND(Ladder!A43&gt;='User Input'!B$2, Ladder!A43&lt;='User Input'!C$2),Ladder!A43,"")</f>
        <v>2043</v>
      </c>
      <c r="Q43" s="8">
        <f t="shared" si="5"/>
        <v>39516.959999999999</v>
      </c>
      <c r="R43" s="17" cm="1">
        <f t="array" ref="R43">IF(P43="","",IFERROR(INDEX('User Input'!$B$5:$DD$5,,_xlfn.XMATCH(P43,'User Input'!$B$4:$DD$4)),'User Input'!$B$3))</f>
        <v>37000</v>
      </c>
      <c r="S43" s="8">
        <f t="shared" si="6"/>
        <v>6696.5262745</v>
      </c>
    </row>
    <row r="44" spans="1:19" x14ac:dyDescent="0.2">
      <c r="A44" s="13">
        <f t="shared" si="0"/>
        <v>2044</v>
      </c>
      <c r="B44" s="2">
        <f>'[1]Inflation Factors'!$C42</f>
        <v>52642</v>
      </c>
      <c r="C44" s="20">
        <f>('[1]Inflation Factors'!$B42)/100</f>
        <v>1.375E-2</v>
      </c>
      <c r="D44" cm="1">
        <f t="array" ref="D44" xml:space="preserve"> IFERROR(INDEX('User Input'!$B$9:$AAD$9, ,_xlfn.XMATCH(B44&amp;C44, 'User Input'!$B$7:$AAD$7&amp;'User Input'!$B$8:$AAD$8)),"")</f>
        <v>15</v>
      </c>
      <c r="E44" s="8">
        <f t="shared" si="1"/>
        <v>15000</v>
      </c>
      <c r="F44" s="13" cm="1">
        <f t="array" ref="F44">IFERROR(INDEX('User Input'!$B$10:$AAD$10, ,_xlfn.XMATCH(B44&amp;C44, 'User Input'!$B$7:$AAD$7&amp;'User Input'!$B$8:$AAD$8)),"")</f>
        <v>13</v>
      </c>
      <c r="G44" s="8">
        <f t="shared" si="2"/>
        <v>13000</v>
      </c>
      <c r="H44" s="8">
        <f>IF(F44="","",F44*1000*(100%-'User Input'!$B$12))</f>
        <v>9880</v>
      </c>
      <c r="I44" s="13" cm="1">
        <f t="array" ref="I44">IFERROR(INDEX('User Input'!$B$11:$AAD$11, ,_xlfn.XMATCH(B44&amp;C44, 'User Input'!$B$7:$AAD$7&amp;'User Input'!$B$8:$AAD$8)),"")</f>
        <v>0</v>
      </c>
      <c r="J44" s="8">
        <f t="shared" si="3"/>
        <v>0</v>
      </c>
      <c r="K44">
        <f>'[1]Inflation Factors'!$H42</f>
        <v>1.3922600000000001</v>
      </c>
      <c r="L44" s="8">
        <f t="shared" si="4"/>
        <v>38983.279999999999</v>
      </c>
      <c r="N44" s="8">
        <f>IF(L44="","",(C44*L44*(100%-'User Input'!$B$12))+(C44*J44*K44*'User Input'!$B$12))</f>
        <v>407.37527599999999</v>
      </c>
      <c r="P44" s="13">
        <f>IF(AND(Ladder!A44&gt;='User Input'!B$2, Ladder!A44&lt;='User Input'!C$2),Ladder!A44,"")</f>
        <v>2044</v>
      </c>
      <c r="Q44" s="8">
        <f t="shared" si="5"/>
        <v>38983.279999999999</v>
      </c>
      <c r="R44" s="17" cm="1">
        <f t="array" ref="R44">IF(P44="","",IFERROR(INDEX('User Input'!$B$5:$DD$5,,_xlfn.XMATCH(P44,'User Input'!$B$4:$DD$4)),'User Input'!$B$3))</f>
        <v>37000</v>
      </c>
      <c r="S44" s="8">
        <f t="shared" si="6"/>
        <v>5975.1407144999976</v>
      </c>
    </row>
    <row r="45" spans="1:19" x14ac:dyDescent="0.2">
      <c r="A45" s="13">
        <f t="shared" si="0"/>
        <v>2045</v>
      </c>
      <c r="B45" s="2">
        <f>'[1]Inflation Factors'!$C43</f>
        <v>53008</v>
      </c>
      <c r="C45" s="20">
        <f>('[1]Inflation Factors'!$B43)/100</f>
        <v>7.4999999999999997E-3</v>
      </c>
      <c r="D45" cm="1">
        <f t="array" ref="D45" xml:space="preserve"> IFERROR(INDEX('User Input'!$B$9:$AAD$9, ,_xlfn.XMATCH(B45&amp;C45, 'User Input'!$B$7:$AAD$7&amp;'User Input'!$B$8:$AAD$8)),"")</f>
        <v>0</v>
      </c>
      <c r="E45" s="8">
        <f t="shared" si="1"/>
        <v>0</v>
      </c>
      <c r="F45" s="13" cm="1">
        <f t="array" ref="F45">IFERROR(INDEX('User Input'!$B$10:$AAD$10, ,_xlfn.XMATCH(B45&amp;C45, 'User Input'!$B$7:$AAD$7&amp;'User Input'!$B$8:$AAD$8)),"")</f>
        <v>33</v>
      </c>
      <c r="G45" s="8">
        <f t="shared" si="2"/>
        <v>33000</v>
      </c>
      <c r="H45" s="8">
        <f>IF(F45="","",F45*1000*(100%-'User Input'!$B$12))</f>
        <v>25080</v>
      </c>
      <c r="I45" s="13" cm="1">
        <f t="array" ref="I45">IFERROR(INDEX('User Input'!$B$11:$AAD$11, ,_xlfn.XMATCH(B45&amp;C45, 'User Input'!$B$7:$AAD$7&amp;'User Input'!$B$8:$AAD$8)),"")</f>
        <v>0</v>
      </c>
      <c r="J45" s="8">
        <f t="shared" si="3"/>
        <v>0</v>
      </c>
      <c r="K45">
        <f>'[1]Inflation Factors'!$H43</f>
        <v>1.3779399999999999</v>
      </c>
      <c r="L45" s="8">
        <f t="shared" si="4"/>
        <v>45472.02</v>
      </c>
      <c r="N45" s="8">
        <f>IF(L45="","",(C45*L45*(100%-'User Input'!$B$12))+(C45*J45*K45*'User Input'!$B$12))</f>
        <v>259.19051400000001</v>
      </c>
      <c r="P45" s="13">
        <f>IF(AND(Ladder!A45&gt;='User Input'!B$2, Ladder!A45&lt;='User Input'!C$2),Ladder!A45,"")</f>
        <v>2045</v>
      </c>
      <c r="Q45" s="8">
        <f t="shared" si="5"/>
        <v>45472.02</v>
      </c>
      <c r="R45" s="17" cm="1">
        <f t="array" ref="R45">IF(P45="","",IFERROR(INDEX('User Input'!$B$5:$DD$5,,_xlfn.XMATCH(P45,'User Input'!$B$4:$DD$4)),'User Input'!$B$3))</f>
        <v>37000</v>
      </c>
      <c r="S45" s="8">
        <f t="shared" si="6"/>
        <v>12056.505438499997</v>
      </c>
    </row>
    <row r="46" spans="1:19" x14ac:dyDescent="0.2">
      <c r="A46" s="13">
        <f t="shared" si="0"/>
        <v>2046</v>
      </c>
      <c r="B46" s="2">
        <f>'[1]Inflation Factors'!$C44</f>
        <v>53373</v>
      </c>
      <c r="C46" s="20">
        <f>('[1]Inflation Factors'!$B44)/100</f>
        <v>0.01</v>
      </c>
      <c r="D46" cm="1">
        <f t="array" ref="D46" xml:space="preserve"> IFERROR(INDEX('User Input'!$B$9:$AAD$9, ,_xlfn.XMATCH(B46&amp;C46, 'User Input'!$B$7:$AAD$7&amp;'User Input'!$B$8:$AAD$8)),"")</f>
        <v>8</v>
      </c>
      <c r="E46" s="8">
        <f t="shared" si="1"/>
        <v>8000</v>
      </c>
      <c r="F46" s="13" cm="1">
        <f t="array" ref="F46">IFERROR(INDEX('User Input'!$B$10:$AAD$10, ,_xlfn.XMATCH(B46&amp;C46, 'User Input'!$B$7:$AAD$7&amp;'User Input'!$B$8:$AAD$8)),"")</f>
        <v>24</v>
      </c>
      <c r="G46" s="8">
        <f t="shared" si="2"/>
        <v>24000</v>
      </c>
      <c r="H46" s="8">
        <f>IF(F46="","",F46*1000*(100%-'User Input'!$B$12))</f>
        <v>18240</v>
      </c>
      <c r="I46" s="13" cm="1">
        <f t="array" ref="I46">IFERROR(INDEX('User Input'!$B$11:$AAD$11, ,_xlfn.XMATCH(B46&amp;C46, 'User Input'!$B$7:$AAD$7&amp;'User Input'!$B$8:$AAD$8)),"")</f>
        <v>0</v>
      </c>
      <c r="J46" s="8">
        <f t="shared" si="3"/>
        <v>0</v>
      </c>
      <c r="K46">
        <f>'[1]Inflation Factors'!$H44</f>
        <v>1.3694299999999999</v>
      </c>
      <c r="L46" s="8">
        <f t="shared" si="4"/>
        <v>43821.759999999995</v>
      </c>
      <c r="N46" s="8">
        <f>IF(L46="","",(C46*L46*(100%-'User Input'!$B$12))+(C46*J46*K46*'User Input'!$B$12))</f>
        <v>333.04537599999998</v>
      </c>
      <c r="P46" s="13">
        <f>IF(AND(Ladder!A46&gt;='User Input'!B$2, Ladder!A46&lt;='User Input'!C$2),Ladder!A46,"")</f>
        <v>2046</v>
      </c>
      <c r="Q46" s="8">
        <f t="shared" si="5"/>
        <v>43821.759999999995</v>
      </c>
      <c r="R46" s="17" cm="1">
        <f t="array" ref="R46">IF(P46="","",IFERROR(INDEX('User Input'!$B$5:$DD$5,,_xlfn.XMATCH(P46,'User Input'!$B$4:$DD$4)),'User Input'!$B$3))</f>
        <v>37000</v>
      </c>
      <c r="S46" s="8">
        <f t="shared" si="6"/>
        <v>10147.054924499993</v>
      </c>
    </row>
    <row r="47" spans="1:19" x14ac:dyDescent="0.2">
      <c r="A47" s="13">
        <f t="shared" si="0"/>
        <v>2047</v>
      </c>
      <c r="B47" s="2">
        <f>'[1]Inflation Factors'!$C45</f>
        <v>53738</v>
      </c>
      <c r="C47" s="20">
        <f>('[1]Inflation Factors'!$B45)/100</f>
        <v>8.7500000000000008E-3</v>
      </c>
      <c r="D47" cm="1">
        <f t="array" ref="D47" xml:space="preserve"> IFERROR(INDEX('User Input'!$B$9:$AAD$9, ,_xlfn.XMATCH(B47&amp;C47, 'User Input'!$B$7:$AAD$7&amp;'User Input'!$B$8:$AAD$8)),"")</f>
        <v>8</v>
      </c>
      <c r="E47" s="8">
        <f t="shared" si="1"/>
        <v>8000</v>
      </c>
      <c r="F47" s="13" cm="1">
        <f t="array" ref="F47">IFERROR(INDEX('User Input'!$B$10:$AAD$10, ,_xlfn.XMATCH(B47&amp;C47, 'User Input'!$B$7:$AAD$7&amp;'User Input'!$B$8:$AAD$8)),"")</f>
        <v>24</v>
      </c>
      <c r="G47" s="8">
        <f t="shared" si="2"/>
        <v>24000</v>
      </c>
      <c r="H47" s="8">
        <f>IF(F47="","",F47*1000*(100%-'User Input'!$B$12))</f>
        <v>18240</v>
      </c>
      <c r="I47" s="13" cm="1">
        <f t="array" ref="I47">IFERROR(INDEX('User Input'!$B$11:$AAD$11, ,_xlfn.XMATCH(B47&amp;C47, 'User Input'!$B$7:$AAD$7&amp;'User Input'!$B$8:$AAD$8)),"")</f>
        <v>0</v>
      </c>
      <c r="J47" s="8">
        <f t="shared" si="3"/>
        <v>0</v>
      </c>
      <c r="K47">
        <f>'[1]Inflation Factors'!$H45</f>
        <v>1.3442000000000001</v>
      </c>
      <c r="L47" s="8">
        <f t="shared" si="4"/>
        <v>43014.400000000001</v>
      </c>
      <c r="N47" s="8">
        <f>IF(L47="","",(C47*L47*(100%-'User Input'!$B$12))+(C47*J47*K47*'User Input'!$B$12))</f>
        <v>286.04576000000003</v>
      </c>
      <c r="P47" s="13">
        <f>IF(AND(Ladder!A47&gt;='User Input'!B$2, Ladder!A47&lt;='User Input'!C$2),Ladder!A47,"")</f>
        <v>2047</v>
      </c>
      <c r="Q47" s="8">
        <f t="shared" si="5"/>
        <v>43014.400000000001</v>
      </c>
      <c r="R47" s="17" cm="1">
        <f t="array" ref="R47">IF(P47="","",IFERROR(INDEX('User Input'!$B$5:$DD$5,,_xlfn.XMATCH(P47,'User Input'!$B$4:$DD$4)),'User Input'!$B$3))</f>
        <v>37000</v>
      </c>
      <c r="S47" s="8">
        <f t="shared" si="6"/>
        <v>9006.649548500005</v>
      </c>
    </row>
    <row r="48" spans="1:19" x14ac:dyDescent="0.2">
      <c r="A48" s="13">
        <f t="shared" si="0"/>
        <v>2048</v>
      </c>
      <c r="B48" s="2">
        <f>'[1]Inflation Factors'!$C46</f>
        <v>54103</v>
      </c>
      <c r="C48" s="20">
        <f>('[1]Inflation Factors'!$B46)/100</f>
        <v>0.01</v>
      </c>
      <c r="D48" cm="1">
        <f t="array" ref="D48" xml:space="preserve"> IFERROR(INDEX('User Input'!$B$9:$AAD$9, ,_xlfn.XMATCH(B48&amp;C48, 'User Input'!$B$7:$AAD$7&amp;'User Input'!$B$8:$AAD$8)),"")</f>
        <v>8</v>
      </c>
      <c r="E48" s="8">
        <f t="shared" si="1"/>
        <v>8000</v>
      </c>
      <c r="F48" s="13" cm="1">
        <f t="array" ref="F48">IFERROR(INDEX('User Input'!$B$10:$AAD$10, ,_xlfn.XMATCH(B48&amp;C48, 'User Input'!$B$7:$AAD$7&amp;'User Input'!$B$8:$AAD$8)),"")</f>
        <v>25</v>
      </c>
      <c r="G48" s="8">
        <f t="shared" si="2"/>
        <v>25000</v>
      </c>
      <c r="H48" s="8">
        <f>IF(F48="","",F48*1000*(100%-'User Input'!$B$12))</f>
        <v>19000</v>
      </c>
      <c r="I48" s="13" cm="1">
        <f t="array" ref="I48">IFERROR(INDEX('User Input'!$B$11:$AAD$11, ,_xlfn.XMATCH(B48&amp;C48, 'User Input'!$B$7:$AAD$7&amp;'User Input'!$B$8:$AAD$8)),"")</f>
        <v>0</v>
      </c>
      <c r="J48" s="8">
        <f t="shared" si="3"/>
        <v>0</v>
      </c>
      <c r="K48">
        <f>'[1]Inflation Factors'!$H46</f>
        <v>1.3158300000000001</v>
      </c>
      <c r="L48" s="8">
        <f t="shared" si="4"/>
        <v>43422.39</v>
      </c>
      <c r="N48" s="8">
        <f>IF(L48="","",(C48*L48*(100%-'User Input'!$B$12))+(C48*J48*K48*'User Input'!$B$12))</f>
        <v>330.01016400000003</v>
      </c>
      <c r="P48" s="13">
        <f>IF(AND(Ladder!A48&gt;='User Input'!B$2, Ladder!A48&lt;='User Input'!C$2),Ladder!A48,"")</f>
        <v>2048</v>
      </c>
      <c r="Q48" s="8">
        <f t="shared" si="5"/>
        <v>43422.39</v>
      </c>
      <c r="R48" s="17" cm="1">
        <f t="array" ref="R48">IF(P48="","",IFERROR(INDEX('User Input'!$B$5:$DD$5,,_xlfn.XMATCH(P48,'User Input'!$B$4:$DD$4)),'User Input'!$B$3))</f>
        <v>37000</v>
      </c>
      <c r="S48" s="8">
        <f t="shared" si="6"/>
        <v>9128.5937885000021</v>
      </c>
    </row>
    <row r="49" spans="1:19" x14ac:dyDescent="0.2">
      <c r="A49" s="13">
        <f t="shared" si="0"/>
        <v>2049</v>
      </c>
      <c r="B49" s="2">
        <f>'[1]Inflation Factors'!$C47</f>
        <v>54469</v>
      </c>
      <c r="C49" s="20">
        <f>('[1]Inflation Factors'!$B47)/100</f>
        <v>0.01</v>
      </c>
      <c r="D49" cm="1">
        <f t="array" ref="D49" xml:space="preserve"> IFERROR(INDEX('User Input'!$B$9:$AAD$9, ,_xlfn.XMATCH(B49&amp;C49, 'User Input'!$B$7:$AAD$7&amp;'User Input'!$B$8:$AAD$8)),"")</f>
        <v>8</v>
      </c>
      <c r="E49" s="8">
        <f t="shared" si="1"/>
        <v>8000</v>
      </c>
      <c r="F49" s="13" cm="1">
        <f t="array" ref="F49">IFERROR(INDEX('User Input'!$B$10:$AAD$10, ,_xlfn.XMATCH(B49&amp;C49, 'User Input'!$B$7:$AAD$7&amp;'User Input'!$B$8:$AAD$8)),"")</f>
        <v>25</v>
      </c>
      <c r="G49" s="8">
        <f t="shared" si="2"/>
        <v>25000</v>
      </c>
      <c r="H49" s="8">
        <f>IF(F49="","",F49*1000*(100%-'User Input'!$B$12))</f>
        <v>19000</v>
      </c>
      <c r="I49" s="13" cm="1">
        <f t="array" ref="I49">IFERROR(INDEX('User Input'!$B$11:$AAD$11, ,_xlfn.XMATCH(B49&amp;C49, 'User Input'!$B$7:$AAD$7&amp;'User Input'!$B$8:$AAD$8)),"")</f>
        <v>0</v>
      </c>
      <c r="J49" s="8">
        <f t="shared" si="3"/>
        <v>0</v>
      </c>
      <c r="K49">
        <f>'[1]Inflation Factors'!$H47</f>
        <v>1.28948</v>
      </c>
      <c r="L49" s="8">
        <f t="shared" si="4"/>
        <v>42552.84</v>
      </c>
      <c r="N49" s="8">
        <f>IF(L49="","",(C49*L49*(100%-'User Input'!$B$12))+(C49*J49*K49*'User Input'!$B$12))</f>
        <v>323.40158400000001</v>
      </c>
      <c r="P49" s="13">
        <f>IF(AND(Ladder!A49&gt;='User Input'!B$2, Ladder!A49&lt;='User Input'!C$2),Ladder!A49,"")</f>
        <v>2049</v>
      </c>
      <c r="Q49" s="8">
        <f t="shared" si="5"/>
        <v>42552.84</v>
      </c>
      <c r="R49" s="17" cm="1">
        <f t="array" ref="R49">IF(P49="","",IFERROR(INDEX('User Input'!$B$5:$DD$5,,_xlfn.XMATCH(P49,'User Input'!$B$4:$DD$4)),'User Input'!$B$3))</f>
        <v>37000</v>
      </c>
      <c r="S49" s="8">
        <f t="shared" si="6"/>
        <v>7929.0336244999999</v>
      </c>
    </row>
    <row r="50" spans="1:19" x14ac:dyDescent="0.2">
      <c r="A50" s="13">
        <f t="shared" si="0"/>
        <v>2050</v>
      </c>
      <c r="B50" s="2">
        <f>'[1]Inflation Factors'!$C48</f>
        <v>54834</v>
      </c>
      <c r="C50" s="20">
        <f>('[1]Inflation Factors'!$B48)/100</f>
        <v>2.5000000000000001E-3</v>
      </c>
      <c r="D50" cm="1">
        <f t="array" ref="D50" xml:space="preserve"> IFERROR(INDEX('User Input'!$B$9:$AAD$9, ,_xlfn.XMATCH(B50&amp;C50, 'User Input'!$B$7:$AAD$7&amp;'User Input'!$B$8:$AAD$8)),"")</f>
        <v>4</v>
      </c>
      <c r="E50" s="8">
        <f t="shared" si="1"/>
        <v>4000</v>
      </c>
      <c r="F50" s="13" cm="1">
        <f t="array" ref="F50">IFERROR(INDEX('User Input'!$B$10:$AAD$10, ,_xlfn.XMATCH(B50&amp;C50, 'User Input'!$B$7:$AAD$7&amp;'User Input'!$B$8:$AAD$8)),"")</f>
        <v>32</v>
      </c>
      <c r="G50" s="8">
        <f t="shared" si="2"/>
        <v>32000</v>
      </c>
      <c r="H50" s="8">
        <f>IF(F50="","",F50*1000*(100%-'User Input'!$B$12))</f>
        <v>24320</v>
      </c>
      <c r="I50" s="13" cm="1">
        <f t="array" ref="I50">IFERROR(INDEX('User Input'!$B$11:$AAD$11, ,_xlfn.XMATCH(B50&amp;C50, 'User Input'!$B$7:$AAD$7&amp;'User Input'!$B$8:$AAD$8)),"")</f>
        <v>0</v>
      </c>
      <c r="J50" s="8">
        <f t="shared" si="3"/>
        <v>0</v>
      </c>
      <c r="K50">
        <f>'[1]Inflation Factors'!$H48</f>
        <v>1.2621</v>
      </c>
      <c r="L50" s="8">
        <f t="shared" si="4"/>
        <v>45435.6</v>
      </c>
      <c r="N50" s="8">
        <f>IF(L50="","",(C50*L50*(100%-'User Input'!$B$12))+(C50*J50*K50*'User Input'!$B$12))</f>
        <v>86.327640000000002</v>
      </c>
      <c r="P50" s="13">
        <f>IF(AND(Ladder!A50&gt;='User Input'!B$2, Ladder!A50&lt;='User Input'!C$2),Ladder!A50,"")</f>
        <v>2050</v>
      </c>
      <c r="Q50" s="8">
        <f t="shared" si="5"/>
        <v>45435.6</v>
      </c>
      <c r="R50" s="17" cm="1">
        <f t="array" ref="R50">IF(P50="","",IFERROR(INDEX('User Input'!$B$5:$DD$5,,_xlfn.XMATCH(P50,'User Input'!$B$4:$DD$4)),'User Input'!$B$3))</f>
        <v>37000</v>
      </c>
      <c r="S50" s="8">
        <f t="shared" si="6"/>
        <v>10488.392040499995</v>
      </c>
    </row>
    <row r="51" spans="1:19" x14ac:dyDescent="0.2">
      <c r="A51" s="13">
        <f t="shared" si="0"/>
        <v>2051</v>
      </c>
      <c r="B51" s="2">
        <f>'[1]Inflation Factors'!$C49</f>
        <v>55199</v>
      </c>
      <c r="C51" s="20">
        <f>('[1]Inflation Factors'!$B49)/100</f>
        <v>1.25E-3</v>
      </c>
      <c r="D51" cm="1">
        <f t="array" ref="D51" xml:space="preserve"> IFERROR(INDEX('User Input'!$B$9:$AAD$9, ,_xlfn.XMATCH(B51&amp;C51, 'User Input'!$B$7:$AAD$7&amp;'User Input'!$B$8:$AAD$8)),"")</f>
        <v>18</v>
      </c>
      <c r="E51" s="8">
        <f t="shared" si="1"/>
        <v>18000</v>
      </c>
      <c r="F51" s="13" cm="1">
        <f t="array" ref="F51">IFERROR(INDEX('User Input'!$B$10:$AAD$10, ,_xlfn.XMATCH(B51&amp;C51, 'User Input'!$B$7:$AAD$7&amp;'User Input'!$B$8:$AAD$8)),"")</f>
        <v>15</v>
      </c>
      <c r="G51" s="8">
        <f t="shared" si="2"/>
        <v>15000</v>
      </c>
      <c r="H51" s="8">
        <f>IF(F51="","",F51*1000*(100%-'User Input'!$B$12))</f>
        <v>11400</v>
      </c>
      <c r="I51" s="13" cm="1">
        <f t="array" ref="I51">IFERROR(INDEX('User Input'!$B$11:$AAD$11, ,_xlfn.XMATCH(B51&amp;C51, 'User Input'!$B$7:$AAD$7&amp;'User Input'!$B$8:$AAD$8)),"")</f>
        <v>0</v>
      </c>
      <c r="J51" s="8">
        <f t="shared" si="3"/>
        <v>0</v>
      </c>
      <c r="K51">
        <f>'[1]Inflation Factors'!$H49</f>
        <v>1.24631</v>
      </c>
      <c r="L51" s="8">
        <f t="shared" si="4"/>
        <v>41128.230000000003</v>
      </c>
      <c r="N51" s="8">
        <f>IF(L51="","",(C51*L51*(100%-'User Input'!$B$12))+(C51*J51*K51*'User Input'!$B$12))</f>
        <v>39.071818499999999</v>
      </c>
      <c r="P51" s="13">
        <f>IF(AND(Ladder!A51&gt;='User Input'!B$2, Ladder!A51&lt;='User Input'!C$2),Ladder!A51,"")</f>
        <v>2051</v>
      </c>
      <c r="Q51" s="8">
        <f t="shared" si="5"/>
        <v>41128.230000000003</v>
      </c>
      <c r="R51" s="17" cm="1">
        <f t="array" ref="R51">IF(P51="","",IFERROR(INDEX('User Input'!$B$5:$DD$5,,_xlfn.XMATCH(P51,'User Input'!$B$4:$DD$4)),'User Input'!$B$3))</f>
        <v>37000</v>
      </c>
      <c r="S51" s="8">
        <f t="shared" si="6"/>
        <v>6094.6944005000041</v>
      </c>
    </row>
    <row r="52" spans="1:19" x14ac:dyDescent="0.2">
      <c r="A52" s="13">
        <f t="shared" si="0"/>
        <v>2052</v>
      </c>
      <c r="B52" s="2">
        <f>'[1]Inflation Factors'!$C50</f>
        <v>55564</v>
      </c>
      <c r="C52" s="20">
        <f>('[1]Inflation Factors'!$B50)/100</f>
        <v>1.25E-3</v>
      </c>
      <c r="D52" cm="1">
        <f t="array" ref="D52" xml:space="preserve"> IFERROR(INDEX('User Input'!$B$9:$AAD$9, ,_xlfn.XMATCH(B52&amp;C52, 'User Input'!$B$7:$AAD$7&amp;'User Input'!$B$8:$AAD$8)),"")</f>
        <v>19</v>
      </c>
      <c r="E52" s="8">
        <f t="shared" si="1"/>
        <v>19000</v>
      </c>
      <c r="F52" s="13" cm="1">
        <f t="array" ref="F52">IFERROR(INDEX('User Input'!$B$10:$AAD$10, ,_xlfn.XMATCH(B52&amp;C52, 'User Input'!$B$7:$AAD$7&amp;'User Input'!$B$8:$AAD$8)),"")</f>
        <v>16</v>
      </c>
      <c r="G52" s="8">
        <f t="shared" si="2"/>
        <v>16000</v>
      </c>
      <c r="H52" s="8">
        <f>IF(F52="","",F52*1000*(100%-'User Input'!$B$12))</f>
        <v>12160</v>
      </c>
      <c r="I52" s="13" cm="1">
        <f t="array" ref="I52">IFERROR(INDEX('User Input'!$B$11:$AAD$11, ,_xlfn.XMATCH(B52&amp;C52, 'User Input'!$B$7:$AAD$7&amp;'User Input'!$B$8:$AAD$8)),"")</f>
        <v>0</v>
      </c>
      <c r="J52" s="8">
        <f t="shared" si="3"/>
        <v>0</v>
      </c>
      <c r="K52">
        <f>'[1]Inflation Factors'!$H50</f>
        <v>1.1656200000000001</v>
      </c>
      <c r="L52" s="8">
        <f t="shared" si="4"/>
        <v>40796.700000000004</v>
      </c>
      <c r="N52" s="8">
        <f>IF(L52="","",(C52*L52*(100%-'User Input'!$B$12))+(C52*J52*K52*'User Input'!$B$12))</f>
        <v>38.756865000000005</v>
      </c>
      <c r="P52" s="13">
        <f>IF(AND(Ladder!A52&gt;='User Input'!B$2, Ladder!A52&lt;='User Input'!C$2),Ladder!A52,"")</f>
        <v>2052</v>
      </c>
      <c r="Q52" s="8">
        <f t="shared" si="5"/>
        <v>40796.700000000004</v>
      </c>
      <c r="R52" s="17" cm="1">
        <f t="array" ref="R52">IF(P52="","",IFERROR(INDEX('User Input'!$B$5:$DD$5,,_xlfn.XMATCH(P52,'User Input'!$B$4:$DD$4)),'User Input'!$B$3))</f>
        <v>37000</v>
      </c>
      <c r="S52" s="8">
        <f t="shared" si="6"/>
        <v>5724.0925820000048</v>
      </c>
    </row>
    <row r="53" spans="1:19" x14ac:dyDescent="0.2">
      <c r="A53" s="13">
        <f t="shared" si="0"/>
        <v>2053</v>
      </c>
      <c r="B53" s="2">
        <f>'[1]Inflation Factors'!$C51</f>
        <v>55930</v>
      </c>
      <c r="C53" s="20">
        <f>('[1]Inflation Factors'!$B51)/100</f>
        <v>1.4999999999999999E-2</v>
      </c>
      <c r="D53" cm="1">
        <f t="array" ref="D53" xml:space="preserve"> IFERROR(INDEX('User Input'!$B$9:$AAD$9, ,_xlfn.XMATCH(B53&amp;C53, 'User Input'!$B$7:$AAD$7&amp;'User Input'!$B$8:$AAD$8)),"")</f>
        <v>0</v>
      </c>
      <c r="E53" s="8">
        <f t="shared" si="1"/>
        <v>0</v>
      </c>
      <c r="F53" s="13" cm="1">
        <f t="array" ref="F53">IFERROR(INDEX('User Input'!$B$10:$AAD$10, ,_xlfn.XMATCH(B53&amp;C53, 'User Input'!$B$7:$AAD$7&amp;'User Input'!$B$8:$AAD$8)),"")</f>
        <v>14</v>
      </c>
      <c r="G53" s="8">
        <f t="shared" si="2"/>
        <v>14000</v>
      </c>
      <c r="H53" s="8">
        <f>IF(F53="","",F53*1000*(100%-'User Input'!$B$12))</f>
        <v>10640</v>
      </c>
      <c r="I53" s="13" cm="1">
        <f t="array" ref="I53">IFERROR(INDEX('User Input'!$B$11:$AAD$11, ,_xlfn.XMATCH(B53&amp;C53, 'User Input'!$B$7:$AAD$7&amp;'User Input'!$B$8:$AAD$8)),"")</f>
        <v>22</v>
      </c>
      <c r="J53" s="8">
        <f t="shared" si="3"/>
        <v>22000</v>
      </c>
      <c r="K53">
        <f>'[1]Inflation Factors'!$H51</f>
        <v>1.0915900000000001</v>
      </c>
      <c r="L53" s="8">
        <f t="shared" si="4"/>
        <v>39297.240000000005</v>
      </c>
      <c r="N53" s="8">
        <f>IF(L53="","",(C53*L53*(100%-'User Input'!$B$12))+(C53*J53*K53*'User Input'!$B$12))</f>
        <v>534.44246400000009</v>
      </c>
      <c r="P53" s="13">
        <f>IF(AND(Ladder!A53&gt;='User Input'!B$2, Ladder!A53&lt;='User Input'!C$2),Ladder!A53,"")</f>
        <v>2053</v>
      </c>
      <c r="Q53" s="8">
        <f t="shared" si="5"/>
        <v>39297.240000000005</v>
      </c>
      <c r="R53" s="17" cm="1">
        <f t="array" ref="R53">IF(P53="","",IFERROR(INDEX('User Input'!$B$5:$DD$5,,_xlfn.XMATCH(P53,'User Input'!$B$4:$DD$4)),'User Input'!$B$3))</f>
        <v>37000</v>
      </c>
      <c r="S53" s="8">
        <f t="shared" si="6"/>
        <v>4185.8757170000026</v>
      </c>
    </row>
    <row r="54" spans="1:19" x14ac:dyDescent="0.2">
      <c r="A54" s="13">
        <f t="shared" si="0"/>
        <v>2054</v>
      </c>
      <c r="B54" s="2">
        <f>'[1]Inflation Factors'!$C52</f>
        <v>56295</v>
      </c>
      <c r="C54" s="20">
        <f>('[1]Inflation Factors'!$B52)/100</f>
        <v>2.1250000000000002E-2</v>
      </c>
      <c r="D54" cm="1">
        <f t="array" ref="D54" xml:space="preserve"> IFERROR(INDEX('User Input'!$B$9:$AAD$9, ,_xlfn.XMATCH(B54&amp;C54, 'User Input'!$B$7:$AAD$7&amp;'User Input'!$B$8:$AAD$8)),"")</f>
        <v>11</v>
      </c>
      <c r="E54" s="8">
        <f t="shared" si="1"/>
        <v>11000</v>
      </c>
      <c r="F54" s="13" cm="1">
        <f t="array" ref="F54">IFERROR(INDEX('User Input'!$B$10:$AAD$10, ,_xlfn.XMATCH(B54&amp;C54, 'User Input'!$B$7:$AAD$7&amp;'User Input'!$B$8:$AAD$8)),"")</f>
        <v>0</v>
      </c>
      <c r="G54" s="8">
        <f t="shared" si="2"/>
        <v>0</v>
      </c>
      <c r="H54" s="8">
        <f>IF(F54="","",F54*1000*(100%-'User Input'!$B$12))</f>
        <v>0</v>
      </c>
      <c r="I54" s="13" cm="1">
        <f t="array" ref="I54">IFERROR(INDEX('User Input'!$B$11:$AAD$11, ,_xlfn.XMATCH(B54&amp;C54, 'User Input'!$B$7:$AAD$7&amp;'User Input'!$B$8:$AAD$8)),"")</f>
        <v>23</v>
      </c>
      <c r="J54" s="8">
        <f t="shared" si="3"/>
        <v>23000</v>
      </c>
      <c r="K54">
        <f>'[1]Inflation Factors'!$H52</f>
        <v>1.0572699999999999</v>
      </c>
      <c r="L54" s="8">
        <f t="shared" si="4"/>
        <v>35947.18</v>
      </c>
      <c r="N54" s="8">
        <f>IF(L54="","",(C54*L54*(100%-'User Input'!$B$12))+(C54*J54*K54*'User Input'!$B$12))</f>
        <v>704.56472800000006</v>
      </c>
      <c r="P54" s="13">
        <f>IF(AND(Ladder!A54&gt;='User Input'!B$2, Ladder!A54&lt;='User Input'!C$2),Ladder!A54,"")</f>
        <v>2054</v>
      </c>
      <c r="Q54" s="8">
        <f t="shared" si="5"/>
        <v>35947.18</v>
      </c>
      <c r="R54" s="17" cm="1">
        <f t="array" ref="R54">IF(P54="","",IFERROR(INDEX('User Input'!$B$5:$DD$5,,_xlfn.XMATCH(P54,'User Input'!$B$4:$DD$4)),'User Input'!$B$3))</f>
        <v>37000</v>
      </c>
      <c r="S54" s="8">
        <f t="shared" si="6"/>
        <v>301.37325299999793</v>
      </c>
    </row>
    <row r="55" spans="1:19" x14ac:dyDescent="0.2">
      <c r="A55" s="13">
        <f t="shared" si="0"/>
        <v>2055</v>
      </c>
      <c r="B55" s="2">
        <f>'[1]Inflation Factors'!$C53</f>
        <v>56660</v>
      </c>
      <c r="C55" s="20">
        <f>('[1]Inflation Factors'!$B53)/100</f>
        <v>2.375E-2</v>
      </c>
      <c r="D55" cm="1">
        <f t="array" ref="D55" xml:space="preserve"> IFERROR(INDEX('User Input'!$B$9:$AAD$9, ,_xlfn.XMATCH(B55&amp;C55, 'User Input'!$B$7:$AAD$7&amp;'User Input'!$B$8:$AAD$8)),"")</f>
        <v>33</v>
      </c>
      <c r="E55" s="8">
        <f t="shared" si="1"/>
        <v>33000</v>
      </c>
      <c r="F55" s="13" cm="1">
        <f t="array" ref="F55">IFERROR(INDEX('User Input'!$B$10:$AAD$10, ,_xlfn.XMATCH(B55&amp;C55, 'User Input'!$B$7:$AAD$7&amp;'User Input'!$B$8:$AAD$8)),"")</f>
        <v>2</v>
      </c>
      <c r="G55" s="8">
        <f t="shared" si="2"/>
        <v>2000</v>
      </c>
      <c r="H55" s="8">
        <f>IF(F55="","",F55*1000*(100%-'User Input'!$B$12))</f>
        <v>1520</v>
      </c>
      <c r="I55" s="13" cm="1">
        <f t="array" ref="I55">IFERROR(INDEX('User Input'!$B$11:$AAD$11, ,_xlfn.XMATCH(B55&amp;C55, 'User Input'!$B$7:$AAD$7&amp;'User Input'!$B$8:$AAD$8)),"")</f>
        <v>0</v>
      </c>
      <c r="J55" s="8">
        <f t="shared" si="3"/>
        <v>0</v>
      </c>
      <c r="K55">
        <f>'[1]Inflation Factors'!$H53</f>
        <v>1.0283</v>
      </c>
      <c r="L55" s="8">
        <f t="shared" si="4"/>
        <v>35990.5</v>
      </c>
      <c r="N55" s="8">
        <f>IF(L55="","",(C55*L55*(100%-'User Input'!$B$12))+(C55*J55*K55*'User Input'!$B$12))</f>
        <v>649.62852499999997</v>
      </c>
      <c r="P55" s="13">
        <f>IF(AND(Ladder!A55&gt;='User Input'!B$2, Ladder!A55&lt;='User Input'!C$2),Ladder!A55,"")</f>
        <v>2055</v>
      </c>
      <c r="Q55" s="8">
        <f t="shared" si="5"/>
        <v>35990.5</v>
      </c>
      <c r="R55" s="17" cm="1">
        <f t="array" ref="R55">IF(P55="","",IFERROR(INDEX('User Input'!$B$5:$DD$5,,_xlfn.XMATCH(P55,'User Input'!$B$4:$DD$4)),'User Input'!$B$3))</f>
        <v>37000</v>
      </c>
      <c r="S55" s="8">
        <f t="shared" si="6"/>
        <v>-359.87147499999992</v>
      </c>
    </row>
    <row r="56" spans="1:19" x14ac:dyDescent="0.2">
      <c r="A56" s="13">
        <f t="shared" si="0"/>
        <v>2056</v>
      </c>
      <c r="B56" s="2">
        <f>'[1]Inflation Factors'!$C54</f>
        <v>57025</v>
      </c>
      <c r="C56" s="20">
        <f>('[1]Inflation Factors'!$B54)/100</f>
        <v>2.375E-2</v>
      </c>
      <c r="D56" t="str" cm="1">
        <f t="array" ref="D56" xml:space="preserve"> IFERROR(INDEX('User Input'!$B$9:$AAD$9, ,_xlfn.XMATCH(B56&amp;C56, 'User Input'!$B$7:$AAD$7&amp;'User Input'!$B$8:$AAD$8)),"")</f>
        <v/>
      </c>
      <c r="E56" s="8" t="str">
        <f t="shared" si="1"/>
        <v/>
      </c>
      <c r="F56" s="13" t="str" cm="1">
        <f t="array" ref="F56">IFERROR(INDEX('User Input'!$B$10:$AAD$10, ,_xlfn.XMATCH(B56&amp;C56, 'User Input'!$B$7:$AAD$7&amp;'User Input'!$B$8:$AAD$8)),"")</f>
        <v/>
      </c>
      <c r="G56" s="8" t="str">
        <f t="shared" si="2"/>
        <v/>
      </c>
      <c r="H56" s="8" t="str">
        <f>IF(F56="","",F56*1000*(100%-'User Input'!$B$12))</f>
        <v/>
      </c>
      <c r="I56" s="13" t="str" cm="1">
        <f t="array" ref="I56">IFERROR(INDEX('User Input'!$B$11:$AAD$11, ,_xlfn.XMATCH(B56&amp;C56, 'User Input'!$B$7:$AAD$7&amp;'User Input'!$B$8:$AAD$8)),"")</f>
        <v/>
      </c>
      <c r="J56" s="8" t="str">
        <f t="shared" si="3"/>
        <v/>
      </c>
      <c r="K56">
        <f>'[1]Inflation Factors'!$H54</f>
        <v>0</v>
      </c>
      <c r="L56" s="8" t="str">
        <f t="shared" si="4"/>
        <v/>
      </c>
      <c r="N56" s="8" t="str">
        <f>IF(L56="","",(C56*L56*(100%-'User Input'!$B$12))+(C56*J56*K56*'User Input'!$B$12))</f>
        <v/>
      </c>
      <c r="P56" s="13">
        <f>IF(AND(Ladder!A56&gt;='User Input'!B$2, Ladder!A56&lt;='User Input'!C$2),Ladder!A56,"")</f>
        <v>2056</v>
      </c>
      <c r="Q56" s="8">
        <f t="shared" si="5"/>
        <v>0</v>
      </c>
      <c r="R56" s="17" cm="1">
        <f t="array" ref="R56">IF(P56="","",IFERROR(INDEX('User Input'!$B$5:$DD$5,,_xlfn.XMATCH(P56,'User Input'!$B$4:$DD$4)),'User Input'!$B$3))</f>
        <v>37000</v>
      </c>
      <c r="S56" s="8">
        <f t="shared" si="6"/>
        <v>-37000</v>
      </c>
    </row>
    <row r="57" spans="1:19" x14ac:dyDescent="0.2">
      <c r="A57" s="13" t="str">
        <f t="shared" si="0"/>
        <v/>
      </c>
      <c r="B57" s="2">
        <f>'[1]Inflation Factors'!$C55</f>
        <v>0</v>
      </c>
      <c r="C57" s="20">
        <f>('[1]Inflation Factors'!$B55)/100</f>
        <v>0</v>
      </c>
      <c r="D57" t="str" cm="1">
        <f t="array" ref="D57" xml:space="preserve"> IFERROR(INDEX('User Input'!$B$9:$AAD$9, ,_xlfn.XMATCH(B57&amp;C57, 'User Input'!$B$7:$AAD$7&amp;'User Input'!$B$8:$AAD$8)),"")</f>
        <v/>
      </c>
      <c r="E57" s="8" t="str">
        <f t="shared" si="1"/>
        <v/>
      </c>
      <c r="F57" s="13" t="str" cm="1">
        <f t="array" ref="F57">IFERROR(INDEX('User Input'!$B$10:$AAD$10, ,_xlfn.XMATCH(B57&amp;C57, 'User Input'!$B$7:$AAD$7&amp;'User Input'!$B$8:$AAD$8)),"")</f>
        <v/>
      </c>
      <c r="G57" s="8" t="str">
        <f t="shared" si="2"/>
        <v/>
      </c>
      <c r="H57" s="8" t="str">
        <f>IF(F57="","",F57*1000*(100%-'User Input'!$B$12))</f>
        <v/>
      </c>
      <c r="I57" s="13" t="str" cm="1">
        <f t="array" ref="I57">IFERROR(INDEX('User Input'!$B$11:$AAD$11, ,_xlfn.XMATCH(B57&amp;C57, 'User Input'!$B$7:$AAD$7&amp;'User Input'!$B$8:$AAD$8)),"")</f>
        <v/>
      </c>
      <c r="J57" s="8" t="str">
        <f t="shared" si="3"/>
        <v/>
      </c>
      <c r="K57">
        <f>'[1]Inflation Factors'!$H55</f>
        <v>0</v>
      </c>
      <c r="L57" s="8" t="str">
        <f t="shared" si="4"/>
        <v/>
      </c>
      <c r="N57" s="8" t="str">
        <f>IF(L57="","",(C57*L57*(100%-'User Input'!$B$12))+(C57*J57*K57*'User Input'!$B$12))</f>
        <v/>
      </c>
      <c r="P57" s="13" t="str">
        <f>IF(AND(Ladder!A57&gt;='User Input'!B$2, Ladder!A57&lt;='User Input'!C$2),Ladder!A57,"")</f>
        <v/>
      </c>
      <c r="Q57" s="8" t="str">
        <f t="shared" si="5"/>
        <v/>
      </c>
      <c r="R57" s="17" t="str" cm="1">
        <f t="array" ref="R57">IF(P57="","",IFERROR(INDEX('User Input'!$B$5:$DD$5,,_xlfn.XMATCH(P57,'User Input'!$B$4:$DD$4)),'User Input'!$B$3))</f>
        <v/>
      </c>
      <c r="S57" s="8" t="str">
        <f t="shared" si="6"/>
        <v/>
      </c>
    </row>
    <row r="58" spans="1:19" x14ac:dyDescent="0.2">
      <c r="A58" s="13" t="str">
        <f t="shared" si="0"/>
        <v/>
      </c>
      <c r="B58" s="2">
        <f>'[1]Inflation Factors'!$C56</f>
        <v>0</v>
      </c>
      <c r="C58" s="20">
        <f>('[1]Inflation Factors'!$B56)/100</f>
        <v>0</v>
      </c>
      <c r="D58" t="str" cm="1">
        <f t="array" ref="D58" xml:space="preserve"> IFERROR(INDEX('User Input'!$B$9:$AAD$9, ,_xlfn.XMATCH(B58&amp;C58, 'User Input'!$B$7:$AAD$7&amp;'User Input'!$B$8:$AAD$8)),"")</f>
        <v/>
      </c>
      <c r="E58" s="8" t="str">
        <f t="shared" si="1"/>
        <v/>
      </c>
      <c r="F58" s="13" t="str" cm="1">
        <f t="array" ref="F58">IFERROR(INDEX('User Input'!$B$10:$AAD$10, ,_xlfn.XMATCH(B58&amp;C58, 'User Input'!$B$7:$AAD$7&amp;'User Input'!$B$8:$AAD$8)),"")</f>
        <v/>
      </c>
      <c r="G58" s="8" t="str">
        <f t="shared" si="2"/>
        <v/>
      </c>
      <c r="H58" s="8" t="str">
        <f>IF(F58="","",F58*1000*(100%-'User Input'!$B$12))</f>
        <v/>
      </c>
      <c r="I58" s="13" t="str" cm="1">
        <f t="array" ref="I58">IFERROR(INDEX('User Input'!$B$11:$AAD$11, ,_xlfn.XMATCH(B58&amp;C58, 'User Input'!$B$7:$AAD$7&amp;'User Input'!$B$8:$AAD$8)),"")</f>
        <v/>
      </c>
      <c r="J58" s="8" t="str">
        <f t="shared" si="3"/>
        <v/>
      </c>
      <c r="K58">
        <f>'[1]Inflation Factors'!$H56</f>
        <v>0</v>
      </c>
      <c r="L58" s="8" t="str">
        <f t="shared" si="4"/>
        <v/>
      </c>
      <c r="N58" s="8" t="str">
        <f>IF(L58="","",(C58*L58*(100%-'User Input'!$B$12))+(C58*J58*K58*'User Input'!$B$12))</f>
        <v/>
      </c>
      <c r="P58" s="13" t="str">
        <f>IF(AND(Ladder!A58&gt;='User Input'!B$2, Ladder!A58&lt;='User Input'!C$2),Ladder!A58,"")</f>
        <v/>
      </c>
      <c r="Q58" s="8" t="str">
        <f t="shared" si="5"/>
        <v/>
      </c>
      <c r="R58" s="17" t="str" cm="1">
        <f t="array" ref="R58">IF(P58="","",IFERROR(INDEX('User Input'!$B$5:$DD$5,,_xlfn.XMATCH(P58,'User Input'!$B$4:$DD$4)),'User Input'!$B$3))</f>
        <v/>
      </c>
      <c r="S58" s="8" t="str">
        <f t="shared" si="6"/>
        <v/>
      </c>
    </row>
    <row r="59" spans="1:19" x14ac:dyDescent="0.2">
      <c r="A59" s="13" t="str">
        <f t="shared" si="0"/>
        <v/>
      </c>
      <c r="B59" s="2">
        <f>'[1]Inflation Factors'!$C57</f>
        <v>0</v>
      </c>
      <c r="C59" s="20">
        <f>('[1]Inflation Factors'!$B57)/100</f>
        <v>0</v>
      </c>
      <c r="D59" t="str" cm="1">
        <f t="array" ref="D59" xml:space="preserve"> IFERROR(INDEX('User Input'!$B$9:$AAD$9, ,_xlfn.XMATCH(B59&amp;C59, 'User Input'!$B$7:$AAD$7&amp;'User Input'!$B$8:$AAD$8)),"")</f>
        <v/>
      </c>
      <c r="E59" s="8" t="str">
        <f t="shared" si="1"/>
        <v/>
      </c>
      <c r="F59" s="13" t="str" cm="1">
        <f t="array" ref="F59">IFERROR(INDEX('User Input'!$B$10:$AAD$10, ,_xlfn.XMATCH(B59&amp;C59, 'User Input'!$B$7:$AAD$7&amp;'User Input'!$B$8:$AAD$8)),"")</f>
        <v/>
      </c>
      <c r="G59" s="8" t="str">
        <f t="shared" si="2"/>
        <v/>
      </c>
      <c r="H59" s="8" t="str">
        <f>IF(F59="","",F59*1000*(100%-'User Input'!$B$12))</f>
        <v/>
      </c>
      <c r="I59" s="13" t="str" cm="1">
        <f t="array" ref="I59">IFERROR(INDEX('User Input'!$B$11:$AAD$11, ,_xlfn.XMATCH(B59&amp;C59, 'User Input'!$B$7:$AAD$7&amp;'User Input'!$B$8:$AAD$8)),"")</f>
        <v/>
      </c>
      <c r="J59" s="8" t="str">
        <f t="shared" si="3"/>
        <v/>
      </c>
      <c r="K59">
        <f>'[1]Inflation Factors'!$H57</f>
        <v>0</v>
      </c>
      <c r="L59" s="8" t="str">
        <f t="shared" si="4"/>
        <v/>
      </c>
      <c r="N59" s="8" t="str">
        <f>IF(L59="","",(C59*L59*(100%-'User Input'!$B$12))+(C59*J59*K59*'User Input'!$B$12))</f>
        <v/>
      </c>
      <c r="P59" s="13" t="str">
        <f>IF(AND(Ladder!A59&gt;='User Input'!B$2, Ladder!A59&lt;='User Input'!C$2),Ladder!A59,"")</f>
        <v/>
      </c>
      <c r="Q59" s="8" t="str">
        <f t="shared" si="5"/>
        <v/>
      </c>
      <c r="R59" s="17" t="str" cm="1">
        <f t="array" ref="R59">IF(P59="","",IFERROR(INDEX('User Input'!$B$5:$DD$5,,_xlfn.XMATCH(P59,'User Input'!$B$4:$DD$4)),'User Input'!$B$3))</f>
        <v/>
      </c>
      <c r="S59" s="8" t="str">
        <f t="shared" si="6"/>
        <v/>
      </c>
    </row>
    <row r="60" spans="1:19" x14ac:dyDescent="0.2">
      <c r="A60" s="13" t="str">
        <f t="shared" si="0"/>
        <v/>
      </c>
      <c r="B60" s="2">
        <f>'[1]Inflation Factors'!$C58</f>
        <v>0</v>
      </c>
      <c r="C60" s="20">
        <f>('[1]Inflation Factors'!$B58)/100</f>
        <v>0</v>
      </c>
      <c r="D60" t="str" cm="1">
        <f t="array" ref="D60" xml:space="preserve"> IFERROR(INDEX('User Input'!$B$9:$AAD$9, ,_xlfn.XMATCH(B60&amp;C60, 'User Input'!$B$7:$AAD$7&amp;'User Input'!$B$8:$AAD$8)),"")</f>
        <v/>
      </c>
      <c r="E60" s="8" t="str">
        <f t="shared" si="1"/>
        <v/>
      </c>
      <c r="F60" s="13" t="str" cm="1">
        <f t="array" ref="F60">IFERROR(INDEX('User Input'!$B$10:$AAD$10, ,_xlfn.XMATCH(B60&amp;C60, 'User Input'!$B$7:$AAD$7&amp;'User Input'!$B$8:$AAD$8)),"")</f>
        <v/>
      </c>
      <c r="G60" s="8" t="str">
        <f t="shared" si="2"/>
        <v/>
      </c>
      <c r="H60" s="8" t="str">
        <f>IF(F60="","",F60*1000*(100%-'User Input'!$B$12))</f>
        <v/>
      </c>
      <c r="I60" s="13" t="str" cm="1">
        <f t="array" ref="I60">IFERROR(INDEX('User Input'!$B$11:$AAD$11, ,_xlfn.XMATCH(B60&amp;C60, 'User Input'!$B$7:$AAD$7&amp;'User Input'!$B$8:$AAD$8)),"")</f>
        <v/>
      </c>
      <c r="J60" s="8" t="str">
        <f t="shared" si="3"/>
        <v/>
      </c>
      <c r="K60">
        <f>'[1]Inflation Factors'!$H58</f>
        <v>0</v>
      </c>
      <c r="L60" s="8" t="str">
        <f t="shared" si="4"/>
        <v/>
      </c>
      <c r="N60" s="8" t="str">
        <f>IF(L60="","",(C60*L60*(100%-'User Input'!$B$12))+(C60*J60*K60*'User Input'!$B$12))</f>
        <v/>
      </c>
      <c r="P60" s="13" t="str">
        <f>IF(AND(Ladder!A60&gt;='User Input'!B$2, Ladder!A60&lt;='User Input'!C$2),Ladder!A60,"")</f>
        <v/>
      </c>
      <c r="Q60" s="8" t="str">
        <f t="shared" si="5"/>
        <v/>
      </c>
      <c r="R60" s="17" t="str" cm="1">
        <f t="array" ref="R60">IF(P60="","",IFERROR(INDEX('User Input'!$B$5:$DD$5,,_xlfn.XMATCH(P60,'User Input'!$B$4:$DD$4)),'User Input'!$B$3))</f>
        <v/>
      </c>
      <c r="S60" s="8" t="str">
        <f t="shared" si="6"/>
        <v/>
      </c>
    </row>
    <row r="61" spans="1:19" x14ac:dyDescent="0.2">
      <c r="A61" s="13" t="str">
        <f t="shared" si="0"/>
        <v/>
      </c>
      <c r="B61" s="2">
        <f>'[1]Inflation Factors'!$C59</f>
        <v>0</v>
      </c>
      <c r="C61" s="20">
        <f>('[1]Inflation Factors'!$B59)/100</f>
        <v>0</v>
      </c>
      <c r="D61" t="str" cm="1">
        <f t="array" ref="D61" xml:space="preserve"> IFERROR(INDEX('User Input'!$B$9:$AAD$9, ,_xlfn.XMATCH(B61&amp;C61, 'User Input'!$B$7:$AAD$7&amp;'User Input'!$B$8:$AAD$8)),"")</f>
        <v/>
      </c>
      <c r="E61" s="8" t="str">
        <f t="shared" si="1"/>
        <v/>
      </c>
      <c r="F61" s="13" t="str" cm="1">
        <f t="array" ref="F61">IFERROR(INDEX('User Input'!$B$10:$AAD$10, ,_xlfn.XMATCH(B61&amp;C61, 'User Input'!$B$7:$AAD$7&amp;'User Input'!$B$8:$AAD$8)),"")</f>
        <v/>
      </c>
      <c r="G61" s="8" t="str">
        <f t="shared" si="2"/>
        <v/>
      </c>
      <c r="H61" s="8" t="str">
        <f>IF(F61="","",F61*1000*(100%-'User Input'!$B$12))</f>
        <v/>
      </c>
      <c r="I61" s="13" t="str" cm="1">
        <f t="array" ref="I61">IFERROR(INDEX('User Input'!$B$11:$AAD$11, ,_xlfn.XMATCH(B61&amp;C61, 'User Input'!$B$7:$AAD$7&amp;'User Input'!$B$8:$AAD$8)),"")</f>
        <v/>
      </c>
      <c r="J61" s="8" t="str">
        <f t="shared" si="3"/>
        <v/>
      </c>
      <c r="K61">
        <f>'[1]Inflation Factors'!$H59</f>
        <v>0</v>
      </c>
      <c r="L61" s="8" t="str">
        <f t="shared" si="4"/>
        <v/>
      </c>
      <c r="N61" s="8" t="str">
        <f>IF(L61="","",(C61*L61*(100%-'User Input'!$B$12))+(C61*J61*K61*'User Input'!$B$12))</f>
        <v/>
      </c>
      <c r="P61" s="13" t="str">
        <f>IF(AND(Ladder!A61&gt;='User Input'!B$2, Ladder!A61&lt;='User Input'!C$2),Ladder!A61,"")</f>
        <v/>
      </c>
      <c r="Q61" s="8" t="str">
        <f t="shared" si="5"/>
        <v/>
      </c>
      <c r="R61" s="17" t="str" cm="1">
        <f t="array" ref="R61">IF(P61="","",IFERROR(INDEX('User Input'!$B$5:$DD$5,,_xlfn.XMATCH(P61,'User Input'!$B$4:$DD$4)),'User Input'!$B$3))</f>
        <v/>
      </c>
      <c r="S61" s="8" t="str">
        <f t="shared" si="6"/>
        <v/>
      </c>
    </row>
    <row r="62" spans="1:19" x14ac:dyDescent="0.2">
      <c r="A62" s="13" t="str">
        <f t="shared" si="0"/>
        <v/>
      </c>
      <c r="B62" s="2">
        <f>'[1]Inflation Factors'!$C60</f>
        <v>0</v>
      </c>
      <c r="C62" s="20">
        <f>('[1]Inflation Factors'!$B60)/100</f>
        <v>0</v>
      </c>
      <c r="D62" t="str" cm="1">
        <f t="array" ref="D62" xml:space="preserve"> IFERROR(INDEX('User Input'!$B$9:$AAD$9, ,_xlfn.XMATCH(B62&amp;C62, 'User Input'!$B$7:$AAD$7&amp;'User Input'!$B$8:$AAD$8)),"")</f>
        <v/>
      </c>
      <c r="E62" s="8" t="str">
        <f t="shared" si="1"/>
        <v/>
      </c>
      <c r="F62" s="13" t="str" cm="1">
        <f t="array" ref="F62">IFERROR(INDEX('User Input'!$B$10:$AAD$10, ,_xlfn.XMATCH(B62&amp;C62, 'User Input'!$B$7:$AAD$7&amp;'User Input'!$B$8:$AAD$8)),"")</f>
        <v/>
      </c>
      <c r="G62" s="8" t="str">
        <f t="shared" si="2"/>
        <v/>
      </c>
      <c r="H62" s="8" t="str">
        <f>IF(F62="","",F62*1000*(100%-'User Input'!$B$12))</f>
        <v/>
      </c>
      <c r="I62" s="13" t="str" cm="1">
        <f t="array" ref="I62">IFERROR(INDEX('User Input'!$B$11:$AAD$11, ,_xlfn.XMATCH(B62&amp;C62, 'User Input'!$B$7:$AAD$7&amp;'User Input'!$B$8:$AAD$8)),"")</f>
        <v/>
      </c>
      <c r="J62" s="8" t="str">
        <f t="shared" si="3"/>
        <v/>
      </c>
      <c r="K62">
        <f>'[1]Inflation Factors'!$H60</f>
        <v>0</v>
      </c>
      <c r="L62" s="8" t="str">
        <f t="shared" si="4"/>
        <v/>
      </c>
      <c r="N62" s="8" t="str">
        <f>IF(L62="","",(C62*L62*(100%-'User Input'!$B$12))+(C62*J62*K62*'User Input'!$B$12))</f>
        <v/>
      </c>
      <c r="P62" s="13" t="str">
        <f>IF(AND(Ladder!A62&gt;='User Input'!B$2, Ladder!A62&lt;='User Input'!C$2),Ladder!A62,"")</f>
        <v/>
      </c>
      <c r="Q62" s="8" t="str">
        <f t="shared" si="5"/>
        <v/>
      </c>
      <c r="R62" s="17" t="str" cm="1">
        <f t="array" ref="R62">IF(P62="","",IFERROR(INDEX('User Input'!$B$5:$DD$5,,_xlfn.XMATCH(P62,'User Input'!$B$4:$DD$4)),'User Input'!$B$3))</f>
        <v/>
      </c>
      <c r="S62" s="8" t="str">
        <f t="shared" si="6"/>
        <v/>
      </c>
    </row>
    <row r="63" spans="1:19" x14ac:dyDescent="0.2">
      <c r="A63" s="13" t="str">
        <f t="shared" si="0"/>
        <v/>
      </c>
      <c r="B63" s="2">
        <f>'[1]Inflation Factors'!$C61</f>
        <v>0</v>
      </c>
      <c r="C63" s="20">
        <f>('[1]Inflation Factors'!$B61)/100</f>
        <v>0</v>
      </c>
      <c r="D63" t="str" cm="1">
        <f t="array" ref="D63" xml:space="preserve"> IFERROR(INDEX('User Input'!$B$9:$AAD$9, ,_xlfn.XMATCH(B63&amp;C63, 'User Input'!$B$7:$AAD$7&amp;'User Input'!$B$8:$AAD$8)),"")</f>
        <v/>
      </c>
      <c r="E63" s="8" t="str">
        <f t="shared" si="1"/>
        <v/>
      </c>
      <c r="F63" s="13" t="str" cm="1">
        <f t="array" ref="F63">IFERROR(INDEX('User Input'!$B$10:$AAD$10, ,_xlfn.XMATCH(B63&amp;C63, 'User Input'!$B$7:$AAD$7&amp;'User Input'!$B$8:$AAD$8)),"")</f>
        <v/>
      </c>
      <c r="G63" s="8" t="str">
        <f t="shared" si="2"/>
        <v/>
      </c>
      <c r="H63" s="8" t="str">
        <f>IF(F63="","",F63*1000*(100%-'User Input'!$B$12))</f>
        <v/>
      </c>
      <c r="I63" s="13" t="str" cm="1">
        <f t="array" ref="I63">IFERROR(INDEX('User Input'!$B$11:$AAD$11, ,_xlfn.XMATCH(B63&amp;C63, 'User Input'!$B$7:$AAD$7&amp;'User Input'!$B$8:$AAD$8)),"")</f>
        <v/>
      </c>
      <c r="J63" s="8" t="str">
        <f t="shared" si="3"/>
        <v/>
      </c>
      <c r="K63">
        <f>'[1]Inflation Factors'!$H61</f>
        <v>0</v>
      </c>
      <c r="L63" s="8" t="str">
        <f t="shared" si="4"/>
        <v/>
      </c>
      <c r="N63" s="8" t="str">
        <f>IF(L63="","",(C63*L63*(100%-'User Input'!$B$12))+(C63*J63*K63*'User Input'!$B$12))</f>
        <v/>
      </c>
      <c r="P63" s="13" t="str">
        <f>IF(AND(Ladder!A63&gt;='User Input'!B$2, Ladder!A63&lt;='User Input'!C$2),Ladder!A63,"")</f>
        <v/>
      </c>
      <c r="Q63" s="8" t="str">
        <f t="shared" si="5"/>
        <v/>
      </c>
      <c r="R63" s="17" t="str" cm="1">
        <f t="array" ref="R63">IF(P63="","",IFERROR(INDEX('User Input'!$B$5:$DD$5,,_xlfn.XMATCH(P63,'User Input'!$B$4:$DD$4)),'User Input'!$B$3))</f>
        <v/>
      </c>
      <c r="S63" s="8" t="str">
        <f t="shared" si="6"/>
        <v/>
      </c>
    </row>
    <row r="64" spans="1:19" x14ac:dyDescent="0.2">
      <c r="A64" s="13" t="str">
        <f t="shared" si="0"/>
        <v/>
      </c>
      <c r="B64" s="2">
        <f>'[1]Inflation Factors'!$C62</f>
        <v>0</v>
      </c>
      <c r="C64" s="20">
        <f>('[1]Inflation Factors'!$B62)/100</f>
        <v>0</v>
      </c>
      <c r="D64" t="str" cm="1">
        <f t="array" ref="D64" xml:space="preserve"> IFERROR(INDEX('User Input'!$B$9:$AAD$9, ,_xlfn.XMATCH(B64&amp;C64, 'User Input'!$B$7:$AAD$7&amp;'User Input'!$B$8:$AAD$8)),"")</f>
        <v/>
      </c>
      <c r="E64" s="8" t="str">
        <f t="shared" si="1"/>
        <v/>
      </c>
      <c r="F64" s="13" t="str" cm="1">
        <f t="array" ref="F64">IFERROR(INDEX('User Input'!$B$10:$AAD$10, ,_xlfn.XMATCH(B64&amp;C64, 'User Input'!$B$7:$AAD$7&amp;'User Input'!$B$8:$AAD$8)),"")</f>
        <v/>
      </c>
      <c r="G64" s="8" t="str">
        <f t="shared" si="2"/>
        <v/>
      </c>
      <c r="H64" s="8" t="str">
        <f>IF(F64="","",F64*1000*(100%-'User Input'!$B$12))</f>
        <v/>
      </c>
      <c r="I64" s="13" t="str" cm="1">
        <f t="array" ref="I64">IFERROR(INDEX('User Input'!$B$11:$AAD$11, ,_xlfn.XMATCH(B64&amp;C64, 'User Input'!$B$7:$AAD$7&amp;'User Input'!$B$8:$AAD$8)),"")</f>
        <v/>
      </c>
      <c r="J64" s="8" t="str">
        <f t="shared" si="3"/>
        <v/>
      </c>
      <c r="K64">
        <f>'[1]Inflation Factors'!$H62</f>
        <v>0</v>
      </c>
      <c r="L64" s="8" t="str">
        <f t="shared" si="4"/>
        <v/>
      </c>
      <c r="N64" s="8" t="str">
        <f>IF(L64="","",(C64*L64*(100%-'User Input'!$B$12))+(C64*J64*K64*'User Input'!$B$12))</f>
        <v/>
      </c>
      <c r="P64" s="13" t="str">
        <f>IF(AND(Ladder!A64&gt;='User Input'!B$2, Ladder!A64&lt;='User Input'!C$2),Ladder!A64,"")</f>
        <v/>
      </c>
      <c r="Q64" s="8" t="str">
        <f t="shared" si="5"/>
        <v/>
      </c>
      <c r="R64" s="17" t="str" cm="1">
        <f t="array" ref="R64">IF(P64="","",IFERROR(INDEX('User Input'!$B$5:$DD$5,,_xlfn.XMATCH(P64,'User Input'!$B$4:$DD$4)),'User Input'!$B$3))</f>
        <v/>
      </c>
      <c r="S64" s="8" t="str">
        <f t="shared" si="6"/>
        <v/>
      </c>
    </row>
    <row r="65" spans="1:19" x14ac:dyDescent="0.2">
      <c r="A65" s="13" t="str">
        <f t="shared" si="0"/>
        <v/>
      </c>
      <c r="B65" s="2">
        <f>'[1]Inflation Factors'!$C63</f>
        <v>0</v>
      </c>
      <c r="C65" s="20">
        <f>('[1]Inflation Factors'!$B63)/100</f>
        <v>0</v>
      </c>
      <c r="D65" t="str" cm="1">
        <f t="array" ref="D65" xml:space="preserve"> IFERROR(INDEX('User Input'!$B$9:$AAD$9, ,_xlfn.XMATCH(B65&amp;C65, 'User Input'!$B$7:$AAD$7&amp;'User Input'!$B$8:$AAD$8)),"")</f>
        <v/>
      </c>
      <c r="E65" s="8" t="str">
        <f t="shared" si="1"/>
        <v/>
      </c>
      <c r="F65" s="13" t="str" cm="1">
        <f t="array" ref="F65">IFERROR(INDEX('User Input'!$B$10:$AAD$10, ,_xlfn.XMATCH(B65&amp;C65, 'User Input'!$B$7:$AAD$7&amp;'User Input'!$B$8:$AAD$8)),"")</f>
        <v/>
      </c>
      <c r="G65" s="8" t="str">
        <f t="shared" si="2"/>
        <v/>
      </c>
      <c r="H65" s="8" t="str">
        <f>IF(F65="","",F65*1000*(100%-'User Input'!$B$12))</f>
        <v/>
      </c>
      <c r="I65" s="13" t="str" cm="1">
        <f t="array" ref="I65">IFERROR(INDEX('User Input'!$B$11:$AAD$11, ,_xlfn.XMATCH(B65&amp;C65, 'User Input'!$B$7:$AAD$7&amp;'User Input'!$B$8:$AAD$8)),"")</f>
        <v/>
      </c>
      <c r="J65" s="8" t="str">
        <f t="shared" si="3"/>
        <v/>
      </c>
      <c r="K65">
        <f>'[1]Inflation Factors'!$H63</f>
        <v>0</v>
      </c>
      <c r="L65" s="8" t="str">
        <f t="shared" si="4"/>
        <v/>
      </c>
      <c r="N65" s="8" t="str">
        <f>IF(L65="","",(C65*L65*(100%-'User Input'!$B$12))+(C65*J65*K65*'User Input'!$B$12))</f>
        <v/>
      </c>
      <c r="P65" s="13" t="str">
        <f>IF(AND(Ladder!A65&gt;='User Input'!B$2, Ladder!A65&lt;='User Input'!C$2),Ladder!A65,"")</f>
        <v/>
      </c>
      <c r="Q65" s="8" t="str">
        <f t="shared" si="5"/>
        <v/>
      </c>
      <c r="R65" s="17" t="str" cm="1">
        <f t="array" ref="R65">IF(P65="","",IFERROR(INDEX('User Input'!$B$5:$DD$5,,_xlfn.XMATCH(P65,'User Input'!$B$4:$DD$4)),'User Input'!$B$3))</f>
        <v/>
      </c>
      <c r="S65" s="8" t="str">
        <f t="shared" si="6"/>
        <v/>
      </c>
    </row>
    <row r="66" spans="1:19" x14ac:dyDescent="0.2">
      <c r="A66" s="13" t="str">
        <f t="shared" si="0"/>
        <v/>
      </c>
      <c r="B66" s="2">
        <f>'[1]Inflation Factors'!$C64</f>
        <v>0</v>
      </c>
      <c r="C66" s="20">
        <f>('[1]Inflation Factors'!$B64)/100</f>
        <v>0</v>
      </c>
      <c r="D66" t="str" cm="1">
        <f t="array" ref="D66" xml:space="preserve"> IFERROR(INDEX('User Input'!$B$9:$AAD$9, ,_xlfn.XMATCH(B66&amp;C66, 'User Input'!$B$7:$AAD$7&amp;'User Input'!$B$8:$AAD$8)),"")</f>
        <v/>
      </c>
      <c r="E66" s="8" t="str">
        <f t="shared" si="1"/>
        <v/>
      </c>
      <c r="F66" s="13" t="str" cm="1">
        <f t="array" ref="F66">IFERROR(INDEX('User Input'!$B$10:$AAD$10, ,_xlfn.XMATCH(B66&amp;C66, 'User Input'!$B$7:$AAD$7&amp;'User Input'!$B$8:$AAD$8)),"")</f>
        <v/>
      </c>
      <c r="G66" s="8" t="str">
        <f t="shared" si="2"/>
        <v/>
      </c>
      <c r="H66" s="8" t="str">
        <f>IF(F66="","",F66*1000*(100%-'User Input'!$B$12))</f>
        <v/>
      </c>
      <c r="I66" s="13" t="str" cm="1">
        <f t="array" ref="I66">IFERROR(INDEX('User Input'!$B$11:$AAD$11, ,_xlfn.XMATCH(B66&amp;C66, 'User Input'!$B$7:$AAD$7&amp;'User Input'!$B$8:$AAD$8)),"")</f>
        <v/>
      </c>
      <c r="J66" s="8" t="str">
        <f t="shared" si="3"/>
        <v/>
      </c>
      <c r="K66">
        <f>'[1]Inflation Factors'!$H64</f>
        <v>0</v>
      </c>
      <c r="L66" s="8" t="str">
        <f t="shared" si="4"/>
        <v/>
      </c>
      <c r="N66" s="8" t="str">
        <f>IF(L66="","",(C66*L66*(100%-'User Input'!$B$12))+(C66*J66*K66*'User Input'!$B$12))</f>
        <v/>
      </c>
      <c r="P66" s="13" t="str">
        <f>IF(AND(Ladder!A66&gt;='User Input'!B$2, Ladder!A66&lt;='User Input'!C$2),Ladder!A66,"")</f>
        <v/>
      </c>
      <c r="Q66" s="8" t="str">
        <f t="shared" si="5"/>
        <v/>
      </c>
      <c r="R66" s="17" t="str" cm="1">
        <f t="array" ref="R66">IF(P66="","",IFERROR(INDEX('User Input'!$B$5:$DD$5,,_xlfn.XMATCH(P66,'User Input'!$B$4:$DD$4)),'User Input'!$B$3))</f>
        <v/>
      </c>
      <c r="S66" s="8" t="str">
        <f t="shared" si="6"/>
        <v/>
      </c>
    </row>
    <row r="67" spans="1:19" x14ac:dyDescent="0.2">
      <c r="A67" s="13"/>
      <c r="J67" s="8" t="str">
        <f t="shared" si="3"/>
        <v/>
      </c>
      <c r="L67" s="8" t="str">
        <f t="shared" ref="L5:L68" si="7">IF(AND(E67="",H67="",J67=""),"",(E67+H67+J67)*K67)</f>
        <v/>
      </c>
      <c r="N67" s="8" t="str">
        <f>IF(L67="","",(C67*L67*(100%-'User Input'!$B$12))+(C67*J67*K67*'User Input'!$B$12))</f>
        <v/>
      </c>
      <c r="P67" s="13"/>
    </row>
    <row r="68" spans="1:19" x14ac:dyDescent="0.2">
      <c r="A68" s="13"/>
      <c r="J68" s="8" t="str">
        <f t="shared" si="3"/>
        <v/>
      </c>
      <c r="L68" s="8" t="str">
        <f t="shared" si="7"/>
        <v/>
      </c>
      <c r="N68" s="8" t="str">
        <f>IF(L68="","",(C68*L68*(100%-'User Input'!$B$12))+(C68*J68*K68*'User Input'!$B$12))</f>
        <v/>
      </c>
      <c r="P68" s="13"/>
    </row>
    <row r="69" spans="1:19" x14ac:dyDescent="0.2">
      <c r="A69" s="13"/>
      <c r="J69" s="8" t="str">
        <f t="shared" ref="J69:J88" si="8">IF(I69="","",I69*1000)</f>
        <v/>
      </c>
      <c r="P69" s="13"/>
    </row>
    <row r="70" spans="1:19" x14ac:dyDescent="0.2">
      <c r="A70" s="13"/>
      <c r="J70" s="8" t="str">
        <f t="shared" si="8"/>
        <v/>
      </c>
      <c r="P70" s="13"/>
    </row>
    <row r="71" spans="1:19" x14ac:dyDescent="0.2">
      <c r="A71" s="13"/>
      <c r="J71" s="8" t="str">
        <f t="shared" si="8"/>
        <v/>
      </c>
      <c r="P71" s="13"/>
    </row>
    <row r="72" spans="1:19" x14ac:dyDescent="0.2">
      <c r="A72" s="13"/>
      <c r="J72" s="8" t="str">
        <f t="shared" si="8"/>
        <v/>
      </c>
      <c r="P72" s="13"/>
    </row>
    <row r="73" spans="1:19" x14ac:dyDescent="0.2">
      <c r="A73" s="13"/>
      <c r="J73" s="8" t="str">
        <f t="shared" si="8"/>
        <v/>
      </c>
      <c r="P73" s="13"/>
    </row>
    <row r="74" spans="1:19" x14ac:dyDescent="0.2">
      <c r="A74" s="13"/>
      <c r="J74" s="8" t="str">
        <f t="shared" si="8"/>
        <v/>
      </c>
      <c r="P74" s="13"/>
    </row>
    <row r="75" spans="1:19" x14ac:dyDescent="0.2">
      <c r="A75" s="13"/>
      <c r="J75" s="8" t="str">
        <f t="shared" si="8"/>
        <v/>
      </c>
      <c r="P75" s="13"/>
    </row>
    <row r="76" spans="1:19" x14ac:dyDescent="0.2">
      <c r="A76" s="13"/>
      <c r="J76" s="8" t="str">
        <f t="shared" si="8"/>
        <v/>
      </c>
      <c r="P76" s="13"/>
    </row>
    <row r="77" spans="1:19" x14ac:dyDescent="0.2">
      <c r="A77" s="13"/>
      <c r="J77" s="8" t="str">
        <f t="shared" si="8"/>
        <v/>
      </c>
      <c r="P77" s="13"/>
    </row>
    <row r="78" spans="1:19" x14ac:dyDescent="0.2">
      <c r="A78" s="13"/>
      <c r="J78" s="8" t="str">
        <f t="shared" si="8"/>
        <v/>
      </c>
      <c r="P78" s="13"/>
    </row>
    <row r="79" spans="1:19" x14ac:dyDescent="0.2">
      <c r="A79" s="13"/>
      <c r="J79" s="8" t="str">
        <f t="shared" si="8"/>
        <v/>
      </c>
      <c r="P79" s="13"/>
    </row>
    <row r="80" spans="1:19" x14ac:dyDescent="0.2">
      <c r="A80" s="13"/>
      <c r="J80" s="8" t="str">
        <f t="shared" si="8"/>
        <v/>
      </c>
      <c r="P80" s="13"/>
    </row>
    <row r="81" spans="1:10" x14ac:dyDescent="0.2">
      <c r="A81" s="13"/>
      <c r="J81" s="8" t="str">
        <f t="shared" si="8"/>
        <v/>
      </c>
    </row>
    <row r="82" spans="1:10" x14ac:dyDescent="0.2">
      <c r="A82" s="13"/>
      <c r="J82" s="8" t="str">
        <f t="shared" si="8"/>
        <v/>
      </c>
    </row>
    <row r="83" spans="1:10" x14ac:dyDescent="0.2">
      <c r="A83" s="13"/>
      <c r="J83" s="8" t="str">
        <f t="shared" si="8"/>
        <v/>
      </c>
    </row>
    <row r="84" spans="1:10" x14ac:dyDescent="0.2">
      <c r="A84" s="13"/>
      <c r="J84" s="8" t="str">
        <f t="shared" si="8"/>
        <v/>
      </c>
    </row>
    <row r="85" spans="1:10" x14ac:dyDescent="0.2">
      <c r="A85" s="13"/>
      <c r="J85" s="8" t="str">
        <f t="shared" si="8"/>
        <v/>
      </c>
    </row>
    <row r="86" spans="1:10" x14ac:dyDescent="0.2">
      <c r="A86" s="13"/>
      <c r="J86" s="8" t="str">
        <f t="shared" si="8"/>
        <v/>
      </c>
    </row>
    <row r="87" spans="1:10" x14ac:dyDescent="0.2">
      <c r="A87" s="13"/>
      <c r="J87" s="8" t="str">
        <f t="shared" si="8"/>
        <v/>
      </c>
    </row>
    <row r="88" spans="1:10" x14ac:dyDescent="0.2">
      <c r="A88" s="13"/>
      <c r="J88" s="8" t="str">
        <f t="shared" si="8"/>
        <v/>
      </c>
    </row>
  </sheetData>
  <conditionalFormatting sqref="S4:S90">
    <cfRule type="cellIs" dxfId="1" priority="1" operator="lessThan">
      <formula>0</formula>
    </cfRule>
    <cfRule type="cellIs" dxfId="0" priority="2"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DBE5-5C78-E34E-BC9B-8F728DAB32D2}">
  <dimension ref="A1:P67"/>
  <sheetViews>
    <sheetView workbookViewId="0">
      <selection activeCell="R31" sqref="R31"/>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tr">
        <f>"91282CCA7"</f>
        <v>91282CCA7</v>
      </c>
      <c r="B2" t="s">
        <v>16</v>
      </c>
      <c r="C2" t="s">
        <v>59</v>
      </c>
      <c r="D2">
        <v>0.125</v>
      </c>
      <c r="E2" s="1">
        <v>46127</v>
      </c>
      <c r="F2" t="s">
        <v>58</v>
      </c>
      <c r="G2" t="s">
        <v>17</v>
      </c>
      <c r="H2">
        <v>99.841999999999999</v>
      </c>
      <c r="I2">
        <v>99.876000000000005</v>
      </c>
      <c r="J2">
        <v>0.89200000000000002</v>
      </c>
      <c r="K2">
        <v>0.72699999999999998</v>
      </c>
      <c r="L2">
        <v>0.72699999999999998</v>
      </c>
      <c r="M2">
        <v>1.2362899999999999</v>
      </c>
      <c r="N2">
        <v>123.433666</v>
      </c>
      <c r="O2">
        <v>123.4757</v>
      </c>
      <c r="P2" t="s">
        <v>60</v>
      </c>
    </row>
    <row r="3" spans="1:16" x14ac:dyDescent="0.2">
      <c r="A3" t="str">
        <f>"912828S50"</f>
        <v>912828S50</v>
      </c>
      <c r="B3" t="s">
        <v>16</v>
      </c>
      <c r="C3" t="s">
        <v>61</v>
      </c>
      <c r="D3">
        <v>0.125</v>
      </c>
      <c r="E3" s="1">
        <v>46218</v>
      </c>
      <c r="F3" t="s">
        <v>58</v>
      </c>
      <c r="G3" t="s">
        <v>17</v>
      </c>
      <c r="H3">
        <v>100.18600000000001</v>
      </c>
      <c r="I3">
        <v>100.211</v>
      </c>
      <c r="J3">
        <v>-0.28100000000000003</v>
      </c>
      <c r="K3">
        <v>-0.33500000000000002</v>
      </c>
      <c r="L3">
        <v>-0.33500000000000002</v>
      </c>
      <c r="M3">
        <v>1.35259</v>
      </c>
      <c r="N3">
        <v>135.510581</v>
      </c>
      <c r="O3">
        <v>135.54439600000001</v>
      </c>
      <c r="P3" t="s">
        <v>60</v>
      </c>
    </row>
    <row r="4" spans="1:16" x14ac:dyDescent="0.2">
      <c r="A4" t="str">
        <f>"91282CDC2"</f>
        <v>91282CDC2</v>
      </c>
      <c r="B4" t="s">
        <v>16</v>
      </c>
      <c r="C4" t="s">
        <v>62</v>
      </c>
      <c r="D4">
        <v>0.125</v>
      </c>
      <c r="E4" s="1">
        <v>46310</v>
      </c>
      <c r="F4" t="s">
        <v>58</v>
      </c>
      <c r="G4" t="s">
        <v>17</v>
      </c>
      <c r="H4">
        <v>99.867999999999995</v>
      </c>
      <c r="I4">
        <v>99.891000000000005</v>
      </c>
      <c r="J4">
        <v>0.312</v>
      </c>
      <c r="K4">
        <v>0.27900000000000003</v>
      </c>
      <c r="L4">
        <v>0.27900000000000003</v>
      </c>
      <c r="M4">
        <v>1.18649</v>
      </c>
      <c r="N4">
        <v>118.492383</v>
      </c>
      <c r="O4">
        <v>118.519672</v>
      </c>
      <c r="P4" t="s">
        <v>60</v>
      </c>
    </row>
    <row r="5" spans="1:16" x14ac:dyDescent="0.2">
      <c r="A5" t="str">
        <f>"912810PS1"</f>
        <v>912810PS1</v>
      </c>
      <c r="B5" t="s">
        <v>16</v>
      </c>
      <c r="C5" t="s">
        <v>63</v>
      </c>
      <c r="D5">
        <v>2.375</v>
      </c>
      <c r="E5" s="1">
        <v>46402</v>
      </c>
      <c r="F5" t="s">
        <v>58</v>
      </c>
      <c r="G5" t="s">
        <v>17</v>
      </c>
      <c r="H5">
        <v>101.405</v>
      </c>
      <c r="I5">
        <v>101.462</v>
      </c>
      <c r="J5">
        <v>0.89900000000000002</v>
      </c>
      <c r="K5">
        <v>0.84</v>
      </c>
      <c r="L5">
        <v>0.84</v>
      </c>
      <c r="M5">
        <v>1.60771</v>
      </c>
      <c r="N5">
        <v>163.029832</v>
      </c>
      <c r="O5">
        <v>163.12147200000001</v>
      </c>
      <c r="P5" t="s">
        <v>60</v>
      </c>
    </row>
    <row r="6" spans="1:16" x14ac:dyDescent="0.2">
      <c r="A6" t="str">
        <f>"912828V49"</f>
        <v>912828V49</v>
      </c>
      <c r="B6" t="s">
        <v>16</v>
      </c>
      <c r="C6" t="s">
        <v>64</v>
      </c>
      <c r="D6">
        <v>0.375</v>
      </c>
      <c r="E6" s="1">
        <v>46402</v>
      </c>
      <c r="F6" t="s">
        <v>58</v>
      </c>
      <c r="G6" t="s">
        <v>17</v>
      </c>
      <c r="H6">
        <v>99.497</v>
      </c>
      <c r="I6">
        <v>99.533000000000001</v>
      </c>
      <c r="J6">
        <v>0.90200000000000002</v>
      </c>
      <c r="K6">
        <v>0.86499999999999999</v>
      </c>
      <c r="L6">
        <v>0.86499999999999999</v>
      </c>
      <c r="M6">
        <v>1.34219</v>
      </c>
      <c r="N6">
        <v>133.54387800000001</v>
      </c>
      <c r="O6">
        <v>133.592197</v>
      </c>
      <c r="P6" t="s">
        <v>60</v>
      </c>
    </row>
    <row r="7" spans="1:16" x14ac:dyDescent="0.2">
      <c r="A7" t="str">
        <f>"91282CEJ6"</f>
        <v>91282CEJ6</v>
      </c>
      <c r="B7" t="s">
        <v>16</v>
      </c>
      <c r="C7" t="s">
        <v>65</v>
      </c>
      <c r="D7">
        <v>0.125</v>
      </c>
      <c r="E7" s="1">
        <v>46492</v>
      </c>
      <c r="F7" t="s">
        <v>58</v>
      </c>
      <c r="G7" t="s">
        <v>17</v>
      </c>
      <c r="H7">
        <v>98.908000000000001</v>
      </c>
      <c r="I7">
        <v>98.944000000000003</v>
      </c>
      <c r="J7">
        <v>1.038</v>
      </c>
      <c r="K7">
        <v>1.008</v>
      </c>
      <c r="L7">
        <v>1.008</v>
      </c>
      <c r="M7">
        <v>1.1483000000000001</v>
      </c>
      <c r="N7">
        <v>113.57605599999999</v>
      </c>
      <c r="O7">
        <v>113.617395</v>
      </c>
      <c r="P7" t="s">
        <v>60</v>
      </c>
    </row>
    <row r="8" spans="1:16" x14ac:dyDescent="0.2">
      <c r="A8" t="str">
        <f>"9128282L3"</f>
        <v>9128282L3</v>
      </c>
      <c r="B8" t="s">
        <v>16</v>
      </c>
      <c r="C8" t="s">
        <v>66</v>
      </c>
      <c r="D8">
        <v>0.375</v>
      </c>
      <c r="E8" s="1">
        <v>46583</v>
      </c>
      <c r="F8" t="s">
        <v>58</v>
      </c>
      <c r="G8" t="s">
        <v>17</v>
      </c>
      <c r="H8">
        <v>99.603999999999999</v>
      </c>
      <c r="I8">
        <v>99.644999999999996</v>
      </c>
      <c r="J8">
        <v>0.64800000000000002</v>
      </c>
      <c r="K8">
        <v>0.61899999999999999</v>
      </c>
      <c r="L8">
        <v>0.61899999999999999</v>
      </c>
      <c r="M8">
        <v>1.3253999999999999</v>
      </c>
      <c r="N8">
        <v>132.015141</v>
      </c>
      <c r="O8">
        <v>132.06948299999999</v>
      </c>
      <c r="P8" t="s">
        <v>60</v>
      </c>
    </row>
    <row r="9" spans="1:16" x14ac:dyDescent="0.2">
      <c r="A9" t="str">
        <f>"91282CFR7"</f>
        <v>91282CFR7</v>
      </c>
      <c r="B9" t="s">
        <v>16</v>
      </c>
      <c r="C9" t="s">
        <v>67</v>
      </c>
      <c r="D9">
        <v>1.625</v>
      </c>
      <c r="E9" s="1">
        <v>46675</v>
      </c>
      <c r="F9" t="s">
        <v>58</v>
      </c>
      <c r="G9" t="s">
        <v>17</v>
      </c>
      <c r="H9">
        <v>101.489</v>
      </c>
      <c r="I9">
        <v>101.521</v>
      </c>
      <c r="J9">
        <v>0.745</v>
      </c>
      <c r="K9">
        <v>0.72599999999999998</v>
      </c>
      <c r="L9">
        <v>0.72599999999999998</v>
      </c>
      <c r="M9">
        <v>1.0944799999999999</v>
      </c>
      <c r="N9">
        <v>111.07768</v>
      </c>
      <c r="O9">
        <v>111.11270399999999</v>
      </c>
      <c r="P9" t="s">
        <v>60</v>
      </c>
    </row>
    <row r="10" spans="1:16" x14ac:dyDescent="0.2">
      <c r="A10" t="str">
        <f>"912810PV4"</f>
        <v>912810PV4</v>
      </c>
      <c r="B10" t="s">
        <v>16</v>
      </c>
      <c r="C10" t="s">
        <v>68</v>
      </c>
      <c r="D10">
        <v>1.75</v>
      </c>
      <c r="E10" s="1">
        <v>46767</v>
      </c>
      <c r="F10" t="s">
        <v>58</v>
      </c>
      <c r="G10" t="s">
        <v>17</v>
      </c>
      <c r="H10">
        <v>101.512</v>
      </c>
      <c r="I10">
        <v>101.565</v>
      </c>
      <c r="J10">
        <v>0.96799999999999997</v>
      </c>
      <c r="K10">
        <v>0.94099999999999995</v>
      </c>
      <c r="L10">
        <v>0.94099999999999995</v>
      </c>
      <c r="M10">
        <v>1.5476000000000001</v>
      </c>
      <c r="N10">
        <v>157.09997100000001</v>
      </c>
      <c r="O10">
        <v>157.181994</v>
      </c>
      <c r="P10" t="s">
        <v>60</v>
      </c>
    </row>
    <row r="11" spans="1:16" x14ac:dyDescent="0.2">
      <c r="A11" t="str">
        <f>"9128283R9"</f>
        <v>9128283R9</v>
      </c>
      <c r="B11" t="s">
        <v>16</v>
      </c>
      <c r="C11" t="s">
        <v>69</v>
      </c>
      <c r="D11">
        <v>0.5</v>
      </c>
      <c r="E11" s="1">
        <v>46767</v>
      </c>
      <c r="F11" t="s">
        <v>58</v>
      </c>
      <c r="G11" t="s">
        <v>17</v>
      </c>
      <c r="H11">
        <v>99.096999999999994</v>
      </c>
      <c r="I11">
        <v>99.128</v>
      </c>
      <c r="J11">
        <v>0.96599999999999997</v>
      </c>
      <c r="K11">
        <v>0.95</v>
      </c>
      <c r="L11">
        <v>0.95</v>
      </c>
      <c r="M11">
        <v>1.3144</v>
      </c>
      <c r="N11">
        <v>130.253096</v>
      </c>
      <c r="O11">
        <v>130.29384300000001</v>
      </c>
      <c r="P11" t="s">
        <v>60</v>
      </c>
    </row>
    <row r="12" spans="1:16" x14ac:dyDescent="0.2">
      <c r="A12" t="str">
        <f>"912810FD5"</f>
        <v>912810FD5</v>
      </c>
      <c r="B12" t="s">
        <v>16</v>
      </c>
      <c r="C12" t="s">
        <v>70</v>
      </c>
      <c r="D12">
        <v>3.625</v>
      </c>
      <c r="E12" s="1">
        <v>46858</v>
      </c>
      <c r="F12" t="s">
        <v>58</v>
      </c>
      <c r="G12" t="s">
        <v>17</v>
      </c>
      <c r="H12">
        <v>105.607</v>
      </c>
      <c r="I12">
        <v>105.66800000000001</v>
      </c>
      <c r="J12">
        <v>1.0469999999999999</v>
      </c>
      <c r="K12">
        <v>1.018</v>
      </c>
      <c r="L12">
        <v>1.018</v>
      </c>
      <c r="M12">
        <v>2.0045600000000001</v>
      </c>
      <c r="N12">
        <v>211.69556700000001</v>
      </c>
      <c r="O12">
        <v>211.817846</v>
      </c>
      <c r="P12" t="s">
        <v>60</v>
      </c>
    </row>
    <row r="13" spans="1:16" x14ac:dyDescent="0.2">
      <c r="A13" t="str">
        <f>"91282CGW5"</f>
        <v>91282CGW5</v>
      </c>
      <c r="B13" t="s">
        <v>16</v>
      </c>
      <c r="C13" t="s">
        <v>71</v>
      </c>
      <c r="D13">
        <v>1.25</v>
      </c>
      <c r="E13" s="1">
        <v>46858</v>
      </c>
      <c r="F13" t="s">
        <v>58</v>
      </c>
      <c r="G13" t="s">
        <v>17</v>
      </c>
      <c r="H13">
        <v>100.419</v>
      </c>
      <c r="I13">
        <v>100.447</v>
      </c>
      <c r="J13">
        <v>1.0569999999999999</v>
      </c>
      <c r="K13">
        <v>1.044</v>
      </c>
      <c r="L13">
        <v>1.044</v>
      </c>
      <c r="M13">
        <v>1.08091</v>
      </c>
      <c r="N13">
        <v>108.54390100000001</v>
      </c>
      <c r="O13">
        <v>108.57416600000001</v>
      </c>
      <c r="P13" t="s">
        <v>60</v>
      </c>
    </row>
    <row r="14" spans="1:16" x14ac:dyDescent="0.2">
      <c r="A14" t="str">
        <f>"912828Y38"</f>
        <v>912828Y38</v>
      </c>
      <c r="B14" t="s">
        <v>16</v>
      </c>
      <c r="C14" t="s">
        <v>72</v>
      </c>
      <c r="D14">
        <v>0.75</v>
      </c>
      <c r="E14" s="1">
        <v>46949</v>
      </c>
      <c r="F14" t="s">
        <v>58</v>
      </c>
      <c r="G14" t="s">
        <v>17</v>
      </c>
      <c r="H14">
        <v>99.747</v>
      </c>
      <c r="I14">
        <v>99.784000000000006</v>
      </c>
      <c r="J14">
        <v>0.85399999999999998</v>
      </c>
      <c r="K14">
        <v>0.83799999999999997</v>
      </c>
      <c r="L14">
        <v>0.83799999999999997</v>
      </c>
      <c r="M14">
        <v>1.29162</v>
      </c>
      <c r="N14">
        <v>128.83521999999999</v>
      </c>
      <c r="O14">
        <v>128.88301000000001</v>
      </c>
      <c r="P14" t="s">
        <v>60</v>
      </c>
    </row>
    <row r="15" spans="1:16" x14ac:dyDescent="0.2">
      <c r="A15" t="str">
        <f>"91282CJH5"</f>
        <v>91282CJH5</v>
      </c>
      <c r="B15" t="s">
        <v>16</v>
      </c>
      <c r="C15" t="s">
        <v>73</v>
      </c>
      <c r="D15">
        <v>2.375</v>
      </c>
      <c r="E15" s="1">
        <v>47041</v>
      </c>
      <c r="F15" t="s">
        <v>58</v>
      </c>
      <c r="G15" t="s">
        <v>17</v>
      </c>
      <c r="H15">
        <v>103.84099999999999</v>
      </c>
      <c r="I15">
        <v>103.877</v>
      </c>
      <c r="J15">
        <v>0.93400000000000005</v>
      </c>
      <c r="K15">
        <v>0.92</v>
      </c>
      <c r="L15">
        <v>0.92</v>
      </c>
      <c r="M15">
        <v>1.0585199999999999</v>
      </c>
      <c r="N15">
        <v>109.91777500000001</v>
      </c>
      <c r="O15">
        <v>109.955882</v>
      </c>
      <c r="P15" t="s">
        <v>60</v>
      </c>
    </row>
    <row r="16" spans="1:16" x14ac:dyDescent="0.2">
      <c r="A16" t="str">
        <f>"912810PZ5"</f>
        <v>912810PZ5</v>
      </c>
      <c r="B16" t="s">
        <v>16</v>
      </c>
      <c r="C16" t="s">
        <v>74</v>
      </c>
      <c r="D16">
        <v>2.5</v>
      </c>
      <c r="E16" s="1">
        <v>47133</v>
      </c>
      <c r="F16" t="s">
        <v>58</v>
      </c>
      <c r="G16" t="s">
        <v>17</v>
      </c>
      <c r="H16">
        <v>104.087</v>
      </c>
      <c r="I16">
        <v>104.148</v>
      </c>
      <c r="J16">
        <v>1.0920000000000001</v>
      </c>
      <c r="K16">
        <v>1.071</v>
      </c>
      <c r="L16">
        <v>1.071</v>
      </c>
      <c r="M16">
        <v>1.5101</v>
      </c>
      <c r="N16">
        <v>157.18177800000001</v>
      </c>
      <c r="O16">
        <v>157.27389400000001</v>
      </c>
      <c r="P16" t="s">
        <v>60</v>
      </c>
    </row>
    <row r="17" spans="1:16" x14ac:dyDescent="0.2">
      <c r="A17" t="str">
        <f>"9128285W6"</f>
        <v>9128285W6</v>
      </c>
      <c r="B17" t="s">
        <v>16</v>
      </c>
      <c r="C17" t="s">
        <v>75</v>
      </c>
      <c r="D17">
        <v>0.875</v>
      </c>
      <c r="E17" s="1">
        <v>47133</v>
      </c>
      <c r="F17" t="s">
        <v>58</v>
      </c>
      <c r="G17" t="s">
        <v>17</v>
      </c>
      <c r="H17">
        <v>99.417000000000002</v>
      </c>
      <c r="I17">
        <v>99.447000000000003</v>
      </c>
      <c r="J17">
        <v>1.075</v>
      </c>
      <c r="K17">
        <v>1.0649999999999999</v>
      </c>
      <c r="L17">
        <v>1.0649999999999999</v>
      </c>
      <c r="M17">
        <v>1.2840199999999999</v>
      </c>
      <c r="N17">
        <v>127.65341600000001</v>
      </c>
      <c r="O17">
        <v>127.691936</v>
      </c>
      <c r="P17" t="s">
        <v>60</v>
      </c>
    </row>
    <row r="18" spans="1:16" x14ac:dyDescent="0.2">
      <c r="A18" t="str">
        <f>"912810FH6"</f>
        <v>912810FH6</v>
      </c>
      <c r="B18" t="s">
        <v>16</v>
      </c>
      <c r="C18" t="s">
        <v>76</v>
      </c>
      <c r="D18">
        <v>3.875</v>
      </c>
      <c r="E18" s="1">
        <v>47223</v>
      </c>
      <c r="F18" t="s">
        <v>58</v>
      </c>
      <c r="G18" t="s">
        <v>17</v>
      </c>
      <c r="H18">
        <v>108.553</v>
      </c>
      <c r="I18">
        <v>108.61</v>
      </c>
      <c r="J18">
        <v>1.1499999999999999</v>
      </c>
      <c r="K18">
        <v>1.1319999999999999</v>
      </c>
      <c r="L18">
        <v>1.1319999999999999</v>
      </c>
      <c r="M18">
        <v>1.97221</v>
      </c>
      <c r="N18">
        <v>214.08931200000001</v>
      </c>
      <c r="O18">
        <v>214.201728</v>
      </c>
      <c r="P18" t="s">
        <v>60</v>
      </c>
    </row>
    <row r="19" spans="1:16" x14ac:dyDescent="0.2">
      <c r="A19" t="str">
        <f>"91282CKL4"</f>
        <v>91282CKL4</v>
      </c>
      <c r="B19" t="s">
        <v>16</v>
      </c>
      <c r="C19" t="s">
        <v>77</v>
      </c>
      <c r="D19">
        <v>2.125</v>
      </c>
      <c r="E19" s="1">
        <v>47223</v>
      </c>
      <c r="F19" t="s">
        <v>58</v>
      </c>
      <c r="G19" t="s">
        <v>17</v>
      </c>
      <c r="H19">
        <v>103.053</v>
      </c>
      <c r="I19">
        <v>103.087</v>
      </c>
      <c r="J19">
        <v>1.1519999999999999</v>
      </c>
      <c r="K19">
        <v>1.141</v>
      </c>
      <c r="L19">
        <v>1.141</v>
      </c>
      <c r="M19">
        <v>1.0482</v>
      </c>
      <c r="N19">
        <v>108.02015400000001</v>
      </c>
      <c r="O19">
        <v>108.05579299999999</v>
      </c>
      <c r="P19" t="s">
        <v>60</v>
      </c>
    </row>
    <row r="20" spans="1:16" x14ac:dyDescent="0.2">
      <c r="A20" t="str">
        <f>"9128287D6"</f>
        <v>9128287D6</v>
      </c>
      <c r="B20" t="s">
        <v>16</v>
      </c>
      <c r="C20" t="s">
        <v>78</v>
      </c>
      <c r="D20">
        <v>0.25</v>
      </c>
      <c r="E20" s="1">
        <v>47314</v>
      </c>
      <c r="F20" t="s">
        <v>58</v>
      </c>
      <c r="G20" t="s">
        <v>17</v>
      </c>
      <c r="H20">
        <v>97.426000000000002</v>
      </c>
      <c r="I20">
        <v>97.462999999999994</v>
      </c>
      <c r="J20">
        <v>1.0089999999999999</v>
      </c>
      <c r="K20">
        <v>0.998</v>
      </c>
      <c r="L20">
        <v>0.998</v>
      </c>
      <c r="M20">
        <v>1.2675000000000001</v>
      </c>
      <c r="N20">
        <v>123.487455</v>
      </c>
      <c r="O20">
        <v>123.534352</v>
      </c>
      <c r="P20" t="s">
        <v>60</v>
      </c>
    </row>
    <row r="21" spans="1:16" x14ac:dyDescent="0.2">
      <c r="A21" t="str">
        <f>"91282CLV1"</f>
        <v>91282CLV1</v>
      </c>
      <c r="B21" t="s">
        <v>16</v>
      </c>
      <c r="C21" t="s">
        <v>79</v>
      </c>
      <c r="D21">
        <v>1.625</v>
      </c>
      <c r="E21" s="1">
        <v>47406</v>
      </c>
      <c r="F21" t="s">
        <v>58</v>
      </c>
      <c r="G21" t="s">
        <v>17</v>
      </c>
      <c r="H21">
        <v>101.974</v>
      </c>
      <c r="I21">
        <v>102.01</v>
      </c>
      <c r="J21">
        <v>1.08</v>
      </c>
      <c r="K21">
        <v>1.07</v>
      </c>
      <c r="L21">
        <v>1.07</v>
      </c>
      <c r="M21">
        <v>1.0303899999999999</v>
      </c>
      <c r="N21">
        <v>105.07298900000001</v>
      </c>
      <c r="O21">
        <v>105.110083</v>
      </c>
      <c r="P21" t="s">
        <v>60</v>
      </c>
    </row>
    <row r="22" spans="1:16" x14ac:dyDescent="0.2">
      <c r="A22" t="str">
        <f>"912828Z37"</f>
        <v>912828Z37</v>
      </c>
      <c r="B22" t="s">
        <v>16</v>
      </c>
      <c r="C22" t="s">
        <v>80</v>
      </c>
      <c r="D22">
        <v>0.125</v>
      </c>
      <c r="E22" s="1">
        <v>47498</v>
      </c>
      <c r="F22" t="s">
        <v>58</v>
      </c>
      <c r="G22" t="s">
        <v>17</v>
      </c>
      <c r="H22">
        <v>95.918999999999997</v>
      </c>
      <c r="I22">
        <v>95.954999999999998</v>
      </c>
      <c r="J22">
        <v>1.1830000000000001</v>
      </c>
      <c r="K22">
        <v>1.173</v>
      </c>
      <c r="L22">
        <v>1.173</v>
      </c>
      <c r="M22">
        <v>1.2601599999999999</v>
      </c>
      <c r="N22">
        <v>120.873287</v>
      </c>
      <c r="O22">
        <v>120.91865199999999</v>
      </c>
      <c r="P22" t="s">
        <v>60</v>
      </c>
    </row>
    <row r="23" spans="1:16" x14ac:dyDescent="0.2">
      <c r="A23" t="str">
        <f>"91282CNB3"</f>
        <v>91282CNB3</v>
      </c>
      <c r="B23" t="s">
        <v>16</v>
      </c>
      <c r="C23" t="s">
        <v>81</v>
      </c>
      <c r="D23">
        <v>1.625</v>
      </c>
      <c r="E23" s="1">
        <v>47588</v>
      </c>
      <c r="F23" t="s">
        <v>58</v>
      </c>
      <c r="G23" t="s">
        <v>17</v>
      </c>
      <c r="H23">
        <v>101.51300000000001</v>
      </c>
      <c r="I23">
        <v>101.548</v>
      </c>
      <c r="J23">
        <v>1.254</v>
      </c>
      <c r="K23">
        <v>1.2450000000000001</v>
      </c>
      <c r="L23">
        <v>1.2450000000000001</v>
      </c>
      <c r="M23">
        <v>1.0185</v>
      </c>
      <c r="N23">
        <v>103.39099</v>
      </c>
      <c r="O23">
        <v>103.426638</v>
      </c>
      <c r="P23" t="s">
        <v>60</v>
      </c>
    </row>
    <row r="24" spans="1:16" x14ac:dyDescent="0.2">
      <c r="A24" t="str">
        <f>"912828ZZ6"</f>
        <v>912828ZZ6</v>
      </c>
      <c r="B24" t="s">
        <v>16</v>
      </c>
      <c r="C24" t="s">
        <v>82</v>
      </c>
      <c r="D24">
        <v>0.125</v>
      </c>
      <c r="E24" s="1">
        <v>47679</v>
      </c>
      <c r="F24" t="s">
        <v>58</v>
      </c>
      <c r="G24" t="s">
        <v>17</v>
      </c>
      <c r="H24">
        <v>95.513999999999996</v>
      </c>
      <c r="I24">
        <v>95.54</v>
      </c>
      <c r="J24">
        <v>1.1599999999999999</v>
      </c>
      <c r="K24">
        <v>1.1539999999999999</v>
      </c>
      <c r="L24">
        <v>1.1539999999999999</v>
      </c>
      <c r="M24">
        <v>1.26454</v>
      </c>
      <c r="N24">
        <v>120.781273</v>
      </c>
      <c r="O24">
        <v>120.814151</v>
      </c>
      <c r="P24" t="s">
        <v>60</v>
      </c>
    </row>
    <row r="25" spans="1:16" x14ac:dyDescent="0.2">
      <c r="A25" t="str">
        <f>"91282CPH8"</f>
        <v>91282CPH8</v>
      </c>
      <c r="B25" t="s">
        <v>16</v>
      </c>
      <c r="C25" t="s">
        <v>83</v>
      </c>
      <c r="D25">
        <v>1.125</v>
      </c>
      <c r="E25" s="1">
        <v>47771</v>
      </c>
      <c r="F25" t="s">
        <v>58</v>
      </c>
      <c r="G25" t="s">
        <v>17</v>
      </c>
      <c r="H25">
        <v>99.552000000000007</v>
      </c>
      <c r="I25">
        <v>99.58</v>
      </c>
      <c r="J25">
        <v>1.2230000000000001</v>
      </c>
      <c r="K25">
        <v>1.2170000000000001</v>
      </c>
      <c r="L25">
        <v>1.2170000000000001</v>
      </c>
      <c r="M25">
        <v>1.0023200000000001</v>
      </c>
      <c r="N25">
        <v>99.782960000000003</v>
      </c>
      <c r="O25">
        <v>99.811025000000001</v>
      </c>
      <c r="P25" t="s">
        <v>60</v>
      </c>
    </row>
    <row r="26" spans="1:16" x14ac:dyDescent="0.2">
      <c r="A26" t="str">
        <f>"91282CBF7"</f>
        <v>91282CBF7</v>
      </c>
      <c r="B26" t="s">
        <v>16</v>
      </c>
      <c r="C26" t="s">
        <v>84</v>
      </c>
      <c r="D26">
        <v>0.125</v>
      </c>
      <c r="E26" s="1">
        <v>47863</v>
      </c>
      <c r="F26" t="s">
        <v>58</v>
      </c>
      <c r="G26" t="s">
        <v>17</v>
      </c>
      <c r="H26">
        <v>94.340999999999994</v>
      </c>
      <c r="I26">
        <v>94.373999999999995</v>
      </c>
      <c r="J26">
        <v>1.3069999999999999</v>
      </c>
      <c r="K26">
        <v>1.3</v>
      </c>
      <c r="L26">
        <v>1.3</v>
      </c>
      <c r="M26">
        <v>1.2454799999999999</v>
      </c>
      <c r="N26">
        <v>117.49982799999999</v>
      </c>
      <c r="O26">
        <v>117.54092900000001</v>
      </c>
      <c r="P26" t="s">
        <v>60</v>
      </c>
    </row>
    <row r="27" spans="1:16" x14ac:dyDescent="0.2">
      <c r="A27" t="str">
        <f>"91282CCM1"</f>
        <v>91282CCM1</v>
      </c>
      <c r="B27" t="s">
        <v>16</v>
      </c>
      <c r="C27" t="s">
        <v>85</v>
      </c>
      <c r="D27">
        <v>0.125</v>
      </c>
      <c r="E27" s="1">
        <v>48044</v>
      </c>
      <c r="F27" t="s">
        <v>58</v>
      </c>
      <c r="G27" t="s">
        <v>17</v>
      </c>
      <c r="H27">
        <v>93.82</v>
      </c>
      <c r="I27">
        <v>93.858999999999995</v>
      </c>
      <c r="J27">
        <v>1.302</v>
      </c>
      <c r="K27">
        <v>1.2929999999999999</v>
      </c>
      <c r="L27">
        <v>1.2929999999999999</v>
      </c>
      <c r="M27">
        <v>1.20967</v>
      </c>
      <c r="N27">
        <v>113.49123899999999</v>
      </c>
      <c r="O27">
        <v>113.538416</v>
      </c>
      <c r="P27" t="s">
        <v>60</v>
      </c>
    </row>
    <row r="28" spans="1:16" x14ac:dyDescent="0.2">
      <c r="A28" t="str">
        <f>"91282CDX6"</f>
        <v>91282CDX6</v>
      </c>
      <c r="B28" t="s">
        <v>16</v>
      </c>
      <c r="C28" t="s">
        <v>86</v>
      </c>
      <c r="D28">
        <v>0.125</v>
      </c>
      <c r="E28" s="1">
        <v>48228</v>
      </c>
      <c r="F28" t="s">
        <v>58</v>
      </c>
      <c r="G28" t="s">
        <v>17</v>
      </c>
      <c r="H28">
        <v>92.507999999999996</v>
      </c>
      <c r="I28">
        <v>92.537999999999997</v>
      </c>
      <c r="J28">
        <v>1.4419999999999999</v>
      </c>
      <c r="K28">
        <v>1.4359999999999999</v>
      </c>
      <c r="L28">
        <v>1.4359999999999999</v>
      </c>
      <c r="M28">
        <v>1.1696</v>
      </c>
      <c r="N28">
        <v>108.197356</v>
      </c>
      <c r="O28">
        <v>108.232444</v>
      </c>
      <c r="P28" t="s">
        <v>60</v>
      </c>
    </row>
    <row r="29" spans="1:16" x14ac:dyDescent="0.2">
      <c r="A29" t="str">
        <f>"912810FQ6"</f>
        <v>912810FQ6</v>
      </c>
      <c r="B29" t="s">
        <v>16</v>
      </c>
      <c r="C29" t="s">
        <v>87</v>
      </c>
      <c r="D29">
        <v>3.375</v>
      </c>
      <c r="E29" s="1">
        <v>48319</v>
      </c>
      <c r="F29" t="s">
        <v>58</v>
      </c>
      <c r="G29" t="s">
        <v>17</v>
      </c>
      <c r="H29">
        <v>111.395</v>
      </c>
      <c r="I29">
        <v>111.479</v>
      </c>
      <c r="J29">
        <v>1.448</v>
      </c>
      <c r="K29">
        <v>1.4339999999999999</v>
      </c>
      <c r="L29">
        <v>1.4339999999999999</v>
      </c>
      <c r="M29">
        <v>1.8265800000000001</v>
      </c>
      <c r="N29">
        <v>203.471879</v>
      </c>
      <c r="O29">
        <v>203.62531100000001</v>
      </c>
      <c r="P29" t="s">
        <v>60</v>
      </c>
    </row>
    <row r="30" spans="1:16" x14ac:dyDescent="0.2">
      <c r="A30" t="str">
        <f>"91282CEZ0"</f>
        <v>91282CEZ0</v>
      </c>
      <c r="B30" t="s">
        <v>16</v>
      </c>
      <c r="C30" t="s">
        <v>88</v>
      </c>
      <c r="D30">
        <v>0.625</v>
      </c>
      <c r="E30" s="1">
        <v>48410</v>
      </c>
      <c r="F30" t="s">
        <v>58</v>
      </c>
      <c r="G30" t="s">
        <v>17</v>
      </c>
      <c r="H30">
        <v>94.905000000000001</v>
      </c>
      <c r="I30">
        <v>94.950999999999993</v>
      </c>
      <c r="J30">
        <v>1.454</v>
      </c>
      <c r="K30">
        <v>1.446</v>
      </c>
      <c r="L30">
        <v>1.446</v>
      </c>
      <c r="M30">
        <v>1.11588</v>
      </c>
      <c r="N30">
        <v>105.902591</v>
      </c>
      <c r="O30">
        <v>105.95392099999999</v>
      </c>
      <c r="P30" t="s">
        <v>60</v>
      </c>
    </row>
    <row r="31" spans="1:16" x14ac:dyDescent="0.2">
      <c r="A31" t="str">
        <f>"91282CGK1"</f>
        <v>91282CGK1</v>
      </c>
      <c r="B31" t="s">
        <v>16</v>
      </c>
      <c r="C31" t="s">
        <v>89</v>
      </c>
      <c r="D31">
        <v>1.125</v>
      </c>
      <c r="E31" s="1">
        <v>48594</v>
      </c>
      <c r="F31" t="s">
        <v>58</v>
      </c>
      <c r="G31" t="s">
        <v>17</v>
      </c>
      <c r="H31">
        <v>97.028999999999996</v>
      </c>
      <c r="I31">
        <v>97.063000000000002</v>
      </c>
      <c r="J31">
        <v>1.577</v>
      </c>
      <c r="K31">
        <v>1.5720000000000001</v>
      </c>
      <c r="L31">
        <v>1.5720000000000001</v>
      </c>
      <c r="M31">
        <v>1.08843</v>
      </c>
      <c r="N31">
        <v>105.609274</v>
      </c>
      <c r="O31">
        <v>105.646281</v>
      </c>
      <c r="P31" t="s">
        <v>60</v>
      </c>
    </row>
    <row r="32" spans="1:16" x14ac:dyDescent="0.2">
      <c r="A32" t="str">
        <f>"91282CHP9"</f>
        <v>91282CHP9</v>
      </c>
      <c r="B32" t="s">
        <v>16</v>
      </c>
      <c r="C32" t="s">
        <v>90</v>
      </c>
      <c r="D32">
        <v>1.375</v>
      </c>
      <c r="E32" s="1">
        <v>48775</v>
      </c>
      <c r="F32" t="s">
        <v>58</v>
      </c>
      <c r="G32" t="s">
        <v>17</v>
      </c>
      <c r="H32">
        <v>98.557000000000002</v>
      </c>
      <c r="I32">
        <v>98.582999999999998</v>
      </c>
      <c r="J32">
        <v>1.581</v>
      </c>
      <c r="K32">
        <v>1.577</v>
      </c>
      <c r="L32">
        <v>1.577</v>
      </c>
      <c r="M32">
        <v>1.0675300000000001</v>
      </c>
      <c r="N32">
        <v>105.212554</v>
      </c>
      <c r="O32">
        <v>105.240309</v>
      </c>
      <c r="P32" t="s">
        <v>60</v>
      </c>
    </row>
    <row r="33" spans="1:16" x14ac:dyDescent="0.2">
      <c r="A33" t="str">
        <f>"91282CJY8"</f>
        <v>91282CJY8</v>
      </c>
      <c r="B33" t="s">
        <v>16</v>
      </c>
      <c r="C33" t="s">
        <v>91</v>
      </c>
      <c r="D33">
        <v>1.75</v>
      </c>
      <c r="E33" s="1">
        <v>48959</v>
      </c>
      <c r="F33" t="s">
        <v>58</v>
      </c>
      <c r="G33" t="s">
        <v>17</v>
      </c>
      <c r="H33">
        <v>100.43300000000001</v>
      </c>
      <c r="I33">
        <v>100.46899999999999</v>
      </c>
      <c r="J33">
        <v>1.6919999999999999</v>
      </c>
      <c r="K33">
        <v>1.6859999999999999</v>
      </c>
      <c r="L33">
        <v>1.6859999999999999</v>
      </c>
      <c r="M33">
        <v>1.05474</v>
      </c>
      <c r="N33">
        <v>105.930702</v>
      </c>
      <c r="O33">
        <v>105.968673</v>
      </c>
      <c r="P33" t="s">
        <v>60</v>
      </c>
    </row>
    <row r="34" spans="1:16" x14ac:dyDescent="0.2">
      <c r="A34" t="str">
        <f>"91282CLE9"</f>
        <v>91282CLE9</v>
      </c>
      <c r="B34" t="s">
        <v>16</v>
      </c>
      <c r="C34" t="s">
        <v>92</v>
      </c>
      <c r="D34">
        <v>1.875</v>
      </c>
      <c r="E34" s="1">
        <v>49140</v>
      </c>
      <c r="F34" t="s">
        <v>58</v>
      </c>
      <c r="G34" t="s">
        <v>17</v>
      </c>
      <c r="H34">
        <v>101.38200000000001</v>
      </c>
      <c r="I34">
        <v>101.398</v>
      </c>
      <c r="J34">
        <v>1.6990000000000001</v>
      </c>
      <c r="K34">
        <v>1.696</v>
      </c>
      <c r="L34">
        <v>1.696</v>
      </c>
      <c r="M34">
        <v>1.03325</v>
      </c>
      <c r="N34">
        <v>104.752951</v>
      </c>
      <c r="O34">
        <v>104.76948299999999</v>
      </c>
      <c r="P34" t="s">
        <v>60</v>
      </c>
    </row>
    <row r="35" spans="1:16" x14ac:dyDescent="0.2">
      <c r="A35" t="str">
        <f>"91282CML2"</f>
        <v>91282CML2</v>
      </c>
      <c r="B35" t="s">
        <v>16</v>
      </c>
      <c r="C35" t="s">
        <v>93</v>
      </c>
      <c r="D35">
        <v>2.125</v>
      </c>
      <c r="E35" s="1">
        <v>49324</v>
      </c>
      <c r="F35" t="s">
        <v>58</v>
      </c>
      <c r="G35" t="s">
        <v>17</v>
      </c>
      <c r="H35">
        <v>102.681</v>
      </c>
      <c r="I35">
        <v>102.712</v>
      </c>
      <c r="J35">
        <v>1.7989999999999999</v>
      </c>
      <c r="K35">
        <v>1.7949999999999999</v>
      </c>
      <c r="L35">
        <v>1.7949999999999999</v>
      </c>
      <c r="M35">
        <v>1.02735</v>
      </c>
      <c r="N35">
        <v>105.48932499999999</v>
      </c>
      <c r="O35">
        <v>105.521173</v>
      </c>
      <c r="P35" t="s">
        <v>60</v>
      </c>
    </row>
    <row r="36" spans="1:16" x14ac:dyDescent="0.2">
      <c r="A36" t="str">
        <f>"91282CNS6"</f>
        <v>91282CNS6</v>
      </c>
      <c r="B36" t="s">
        <v>16</v>
      </c>
      <c r="C36" t="s">
        <v>94</v>
      </c>
      <c r="D36">
        <v>1.875</v>
      </c>
      <c r="E36" s="1">
        <v>49505</v>
      </c>
      <c r="F36" t="s">
        <v>58</v>
      </c>
      <c r="G36" t="s">
        <v>17</v>
      </c>
      <c r="H36">
        <v>100.596</v>
      </c>
      <c r="I36">
        <v>100.616</v>
      </c>
      <c r="J36">
        <v>1.806</v>
      </c>
      <c r="K36">
        <v>1.8029999999999999</v>
      </c>
      <c r="L36">
        <v>1.8029999999999999</v>
      </c>
      <c r="M36">
        <v>1.00972</v>
      </c>
      <c r="N36">
        <v>101.57379299999999</v>
      </c>
      <c r="O36">
        <v>101.593987</v>
      </c>
      <c r="P36" t="s">
        <v>60</v>
      </c>
    </row>
    <row r="37" spans="1:16" x14ac:dyDescent="0.2">
      <c r="A37" t="str">
        <f>"91282CPU9"</f>
        <v>91282CPU9</v>
      </c>
      <c r="B37" t="s">
        <v>16</v>
      </c>
      <c r="C37" t="s">
        <v>95</v>
      </c>
      <c r="D37">
        <v>1.875</v>
      </c>
      <c r="E37" s="1">
        <v>49689</v>
      </c>
      <c r="F37" t="s">
        <v>58</v>
      </c>
      <c r="G37" t="s">
        <v>17</v>
      </c>
      <c r="H37">
        <v>99.926000000000002</v>
      </c>
      <c r="I37">
        <v>99.956000000000003</v>
      </c>
      <c r="J37">
        <v>1.883</v>
      </c>
      <c r="K37">
        <v>1.879</v>
      </c>
      <c r="L37">
        <v>1.879</v>
      </c>
      <c r="M37">
        <v>0.99778999999999995</v>
      </c>
      <c r="N37">
        <v>99.705162999999999</v>
      </c>
      <c r="O37">
        <v>99.735096999999996</v>
      </c>
      <c r="P37" t="s">
        <v>60</v>
      </c>
    </row>
    <row r="38" spans="1:16" x14ac:dyDescent="0.2">
      <c r="A38" t="str">
        <f>"912810QF8"</f>
        <v>912810QF8</v>
      </c>
      <c r="B38" t="s">
        <v>16</v>
      </c>
      <c r="C38" t="s">
        <v>96</v>
      </c>
      <c r="D38">
        <v>2.125</v>
      </c>
      <c r="E38" s="1">
        <v>51181</v>
      </c>
      <c r="F38" t="s">
        <v>58</v>
      </c>
      <c r="G38" t="s">
        <v>17</v>
      </c>
      <c r="H38">
        <v>99.61</v>
      </c>
      <c r="I38">
        <v>99.688999999999993</v>
      </c>
      <c r="J38">
        <v>2.157</v>
      </c>
      <c r="K38">
        <v>2.15</v>
      </c>
      <c r="L38">
        <v>2.15</v>
      </c>
      <c r="M38">
        <v>1.50004</v>
      </c>
      <c r="N38">
        <v>149.41898399999999</v>
      </c>
      <c r="O38">
        <v>149.537487</v>
      </c>
      <c r="P38" t="s">
        <v>60</v>
      </c>
    </row>
    <row r="39" spans="1:16" x14ac:dyDescent="0.2">
      <c r="A39" t="str">
        <f>"912810QP6"</f>
        <v>912810QP6</v>
      </c>
      <c r="B39" t="s">
        <v>16</v>
      </c>
      <c r="C39" t="s">
        <v>97</v>
      </c>
      <c r="D39">
        <v>2.125</v>
      </c>
      <c r="E39" s="1">
        <v>51547</v>
      </c>
      <c r="F39" t="s">
        <v>58</v>
      </c>
      <c r="G39" t="s">
        <v>17</v>
      </c>
      <c r="H39">
        <v>98.617999999999995</v>
      </c>
      <c r="I39">
        <v>98.697999999999993</v>
      </c>
      <c r="J39">
        <v>2.234</v>
      </c>
      <c r="K39">
        <v>2.2269999999999999</v>
      </c>
      <c r="L39">
        <v>2.2269999999999999</v>
      </c>
      <c r="M39">
        <v>1.48051</v>
      </c>
      <c r="N39">
        <v>146.00493499999999</v>
      </c>
      <c r="O39">
        <v>146.12337500000001</v>
      </c>
      <c r="P39" t="s">
        <v>60</v>
      </c>
    </row>
    <row r="40" spans="1:16" x14ac:dyDescent="0.2">
      <c r="A40" t="str">
        <f>"912810QV3"</f>
        <v>912810QV3</v>
      </c>
      <c r="B40" t="s">
        <v>16</v>
      </c>
      <c r="C40" t="s">
        <v>98</v>
      </c>
      <c r="D40">
        <v>0.75</v>
      </c>
      <c r="E40" s="1">
        <v>51912</v>
      </c>
      <c r="F40" t="s">
        <v>58</v>
      </c>
      <c r="G40" t="s">
        <v>17</v>
      </c>
      <c r="H40">
        <v>78.507000000000005</v>
      </c>
      <c r="I40">
        <v>78.597999999999999</v>
      </c>
      <c r="J40">
        <v>2.3679999999999999</v>
      </c>
      <c r="K40">
        <v>2.36</v>
      </c>
      <c r="L40">
        <v>2.36</v>
      </c>
      <c r="M40">
        <v>1.4348399999999999</v>
      </c>
      <c r="N40">
        <v>112.644983</v>
      </c>
      <c r="O40">
        <v>112.775554</v>
      </c>
      <c r="P40" t="s">
        <v>60</v>
      </c>
    </row>
    <row r="41" spans="1:16" x14ac:dyDescent="0.2">
      <c r="A41" t="str">
        <f>"912810RA8"</f>
        <v>912810RA8</v>
      </c>
      <c r="B41" t="s">
        <v>16</v>
      </c>
      <c r="C41" t="s">
        <v>99</v>
      </c>
      <c r="D41">
        <v>0.625</v>
      </c>
      <c r="E41" s="1">
        <v>52277</v>
      </c>
      <c r="F41" t="s">
        <v>58</v>
      </c>
      <c r="G41" t="s">
        <v>17</v>
      </c>
      <c r="H41">
        <v>75.125</v>
      </c>
      <c r="I41">
        <v>75.206999999999994</v>
      </c>
      <c r="J41">
        <v>2.4140000000000001</v>
      </c>
      <c r="K41">
        <v>2.407</v>
      </c>
      <c r="L41">
        <v>2.407</v>
      </c>
      <c r="M41">
        <v>1.4101900000000001</v>
      </c>
      <c r="N41">
        <v>105.940523</v>
      </c>
      <c r="O41">
        <v>106.05615899999999</v>
      </c>
      <c r="P41" t="s">
        <v>60</v>
      </c>
    </row>
    <row r="42" spans="1:16" x14ac:dyDescent="0.2">
      <c r="A42" t="str">
        <f>"912810RF7"</f>
        <v>912810RF7</v>
      </c>
      <c r="B42" t="s">
        <v>16</v>
      </c>
      <c r="C42" t="s">
        <v>100</v>
      </c>
      <c r="D42">
        <v>1.375</v>
      </c>
      <c r="E42" s="1">
        <v>52642</v>
      </c>
      <c r="F42" t="s">
        <v>58</v>
      </c>
      <c r="G42" t="s">
        <v>17</v>
      </c>
      <c r="H42">
        <v>84.337999999999994</v>
      </c>
      <c r="I42">
        <v>84.426000000000002</v>
      </c>
      <c r="J42">
        <v>2.4550000000000001</v>
      </c>
      <c r="K42">
        <v>2.4470000000000001</v>
      </c>
      <c r="L42">
        <v>2.4470000000000001</v>
      </c>
      <c r="M42">
        <v>1.39114</v>
      </c>
      <c r="N42">
        <v>117.325965</v>
      </c>
      <c r="O42">
        <v>117.448385</v>
      </c>
      <c r="P42" t="s">
        <v>60</v>
      </c>
    </row>
    <row r="43" spans="1:16" x14ac:dyDescent="0.2">
      <c r="A43" t="str">
        <f>"912810RL4"</f>
        <v>912810RL4</v>
      </c>
      <c r="B43" t="s">
        <v>16</v>
      </c>
      <c r="C43" t="s">
        <v>101</v>
      </c>
      <c r="D43">
        <v>0.75</v>
      </c>
      <c r="E43" s="1">
        <v>53008</v>
      </c>
      <c r="F43" t="s">
        <v>58</v>
      </c>
      <c r="G43" t="s">
        <v>17</v>
      </c>
      <c r="H43">
        <v>73.472999999999999</v>
      </c>
      <c r="I43">
        <v>73.557000000000002</v>
      </c>
      <c r="J43">
        <v>2.5110000000000001</v>
      </c>
      <c r="K43">
        <v>2.504</v>
      </c>
      <c r="L43">
        <v>2.504</v>
      </c>
      <c r="M43">
        <v>1.37683</v>
      </c>
      <c r="N43">
        <v>101.15983</v>
      </c>
      <c r="O43">
        <v>101.27548400000001</v>
      </c>
      <c r="P43" t="s">
        <v>60</v>
      </c>
    </row>
    <row r="44" spans="1:16" x14ac:dyDescent="0.2">
      <c r="A44" t="str">
        <f>"912810RR1"</f>
        <v>912810RR1</v>
      </c>
      <c r="B44" t="s">
        <v>16</v>
      </c>
      <c r="C44" t="s">
        <v>102</v>
      </c>
      <c r="D44">
        <v>1</v>
      </c>
      <c r="E44" s="1">
        <v>53373</v>
      </c>
      <c r="F44" t="s">
        <v>58</v>
      </c>
      <c r="G44" t="s">
        <v>17</v>
      </c>
      <c r="H44">
        <v>75.932000000000002</v>
      </c>
      <c r="I44">
        <v>76.028000000000006</v>
      </c>
      <c r="J44">
        <v>2.54</v>
      </c>
      <c r="K44">
        <v>2.532</v>
      </c>
      <c r="L44">
        <v>2.532</v>
      </c>
      <c r="M44">
        <v>1.36833</v>
      </c>
      <c r="N44">
        <v>103.90003299999999</v>
      </c>
      <c r="O44">
        <v>104.03139299999999</v>
      </c>
      <c r="P44" t="s">
        <v>60</v>
      </c>
    </row>
    <row r="45" spans="1:16" x14ac:dyDescent="0.2">
      <c r="A45" t="str">
        <f>"912810RW0"</f>
        <v>912810RW0</v>
      </c>
      <c r="B45" t="s">
        <v>16</v>
      </c>
      <c r="C45" t="s">
        <v>103</v>
      </c>
      <c r="D45">
        <v>0.875</v>
      </c>
      <c r="E45" s="1">
        <v>53738</v>
      </c>
      <c r="F45" t="s">
        <v>58</v>
      </c>
      <c r="G45" t="s">
        <v>17</v>
      </c>
      <c r="H45">
        <v>72.628</v>
      </c>
      <c r="I45">
        <v>72.715000000000003</v>
      </c>
      <c r="J45">
        <v>2.5670000000000002</v>
      </c>
      <c r="K45">
        <v>2.56</v>
      </c>
      <c r="L45">
        <v>2.56</v>
      </c>
      <c r="M45">
        <v>1.34311</v>
      </c>
      <c r="N45">
        <v>97.547393</v>
      </c>
      <c r="O45">
        <v>97.664242999999999</v>
      </c>
      <c r="P45" t="s">
        <v>60</v>
      </c>
    </row>
    <row r="46" spans="1:16" x14ac:dyDescent="0.2">
      <c r="A46" t="str">
        <f>"912810SB5"</f>
        <v>912810SB5</v>
      </c>
      <c r="B46" t="s">
        <v>16</v>
      </c>
      <c r="C46" t="s">
        <v>104</v>
      </c>
      <c r="D46">
        <v>1</v>
      </c>
      <c r="E46" s="1">
        <v>54103</v>
      </c>
      <c r="F46" t="s">
        <v>58</v>
      </c>
      <c r="G46" t="s">
        <v>17</v>
      </c>
      <c r="H46">
        <v>73.558000000000007</v>
      </c>
      <c r="I46">
        <v>73.652000000000001</v>
      </c>
      <c r="J46">
        <v>2.58</v>
      </c>
      <c r="K46">
        <v>2.573</v>
      </c>
      <c r="L46">
        <v>2.573</v>
      </c>
      <c r="M46">
        <v>1.31477</v>
      </c>
      <c r="N46">
        <v>96.711850999999996</v>
      </c>
      <c r="O46">
        <v>96.835440000000006</v>
      </c>
      <c r="P46" t="s">
        <v>60</v>
      </c>
    </row>
    <row r="47" spans="1:16" x14ac:dyDescent="0.2">
      <c r="A47" t="str">
        <f>"912810SG4"</f>
        <v>912810SG4</v>
      </c>
      <c r="B47" t="s">
        <v>16</v>
      </c>
      <c r="C47" t="s">
        <v>105</v>
      </c>
      <c r="D47">
        <v>1</v>
      </c>
      <c r="E47" s="1">
        <v>54469</v>
      </c>
      <c r="F47" t="s">
        <v>58</v>
      </c>
      <c r="G47" t="s">
        <v>17</v>
      </c>
      <c r="H47">
        <v>72.472999999999999</v>
      </c>
      <c r="I47">
        <v>72.55</v>
      </c>
      <c r="J47">
        <v>2.5950000000000002</v>
      </c>
      <c r="K47">
        <v>2.589</v>
      </c>
      <c r="L47">
        <v>2.589</v>
      </c>
      <c r="M47">
        <v>1.28844</v>
      </c>
      <c r="N47">
        <v>93.377111999999997</v>
      </c>
      <c r="O47">
        <v>93.476321999999996</v>
      </c>
      <c r="P47" t="s">
        <v>60</v>
      </c>
    </row>
    <row r="48" spans="1:16" x14ac:dyDescent="0.2">
      <c r="A48" t="str">
        <f>"912810SM1"</f>
        <v>912810SM1</v>
      </c>
      <c r="B48" t="s">
        <v>16</v>
      </c>
      <c r="C48" t="s">
        <v>106</v>
      </c>
      <c r="D48">
        <v>0.25</v>
      </c>
      <c r="E48" s="1">
        <v>54834</v>
      </c>
      <c r="F48" t="s">
        <v>58</v>
      </c>
      <c r="G48" t="s">
        <v>17</v>
      </c>
      <c r="H48">
        <v>58.040999999999997</v>
      </c>
      <c r="I48">
        <v>58.128999999999998</v>
      </c>
      <c r="J48">
        <v>2.6110000000000002</v>
      </c>
      <c r="K48">
        <v>2.6040000000000001</v>
      </c>
      <c r="L48">
        <v>2.6040000000000001</v>
      </c>
      <c r="M48">
        <v>1.26108</v>
      </c>
      <c r="N48">
        <v>73.194344000000001</v>
      </c>
      <c r="O48">
        <v>73.305318999999997</v>
      </c>
      <c r="P48" t="s">
        <v>60</v>
      </c>
    </row>
    <row r="49" spans="1:16" x14ac:dyDescent="0.2">
      <c r="A49" t="str">
        <f>"912810SV1"</f>
        <v>912810SV1</v>
      </c>
      <c r="B49" t="s">
        <v>16</v>
      </c>
      <c r="C49" t="s">
        <v>107</v>
      </c>
      <c r="D49">
        <v>0.125</v>
      </c>
      <c r="E49" s="1">
        <v>55199</v>
      </c>
      <c r="F49" t="s">
        <v>58</v>
      </c>
      <c r="G49" t="s">
        <v>17</v>
      </c>
      <c r="H49">
        <v>54.494</v>
      </c>
      <c r="I49">
        <v>54.558999999999997</v>
      </c>
      <c r="J49">
        <v>2.6120000000000001</v>
      </c>
      <c r="K49">
        <v>2.6070000000000002</v>
      </c>
      <c r="L49">
        <v>2.6070000000000002</v>
      </c>
      <c r="M49">
        <v>1.2453099999999999</v>
      </c>
      <c r="N49">
        <v>67.861923000000004</v>
      </c>
      <c r="O49">
        <v>67.942868000000004</v>
      </c>
      <c r="P49" t="s">
        <v>60</v>
      </c>
    </row>
    <row r="50" spans="1:16" x14ac:dyDescent="0.2">
      <c r="A50" t="str">
        <f>"912810TE8"</f>
        <v>912810TE8</v>
      </c>
      <c r="B50" t="s">
        <v>16</v>
      </c>
      <c r="C50" t="s">
        <v>108</v>
      </c>
      <c r="D50">
        <v>0.125</v>
      </c>
      <c r="E50" s="1">
        <v>55564</v>
      </c>
      <c r="F50" t="s">
        <v>58</v>
      </c>
      <c r="G50" t="s">
        <v>17</v>
      </c>
      <c r="H50">
        <v>53.220999999999997</v>
      </c>
      <c r="I50">
        <v>53.317</v>
      </c>
      <c r="J50">
        <v>2.6120000000000001</v>
      </c>
      <c r="K50">
        <v>2.6040000000000001</v>
      </c>
      <c r="L50">
        <v>2.6040000000000001</v>
      </c>
      <c r="M50">
        <v>1.1646799999999999</v>
      </c>
      <c r="N50">
        <v>61.985433999999998</v>
      </c>
      <c r="O50">
        <v>62.097242999999999</v>
      </c>
      <c r="P50" t="s">
        <v>60</v>
      </c>
    </row>
    <row r="51" spans="1:16" x14ac:dyDescent="0.2">
      <c r="A51" t="str">
        <f>"912810TP3"</f>
        <v>912810TP3</v>
      </c>
      <c r="B51" t="s">
        <v>16</v>
      </c>
      <c r="C51" t="s">
        <v>109</v>
      </c>
      <c r="D51">
        <v>1.5</v>
      </c>
      <c r="E51" s="1">
        <v>55930</v>
      </c>
      <c r="F51" t="s">
        <v>58</v>
      </c>
      <c r="G51" t="s">
        <v>17</v>
      </c>
      <c r="H51">
        <v>78.507000000000005</v>
      </c>
      <c r="I51">
        <v>78.578000000000003</v>
      </c>
      <c r="J51">
        <v>2.613</v>
      </c>
      <c r="K51">
        <v>2.609</v>
      </c>
      <c r="L51">
        <v>2.609</v>
      </c>
      <c r="M51">
        <v>1.0907100000000001</v>
      </c>
      <c r="N51">
        <v>85.628369000000006</v>
      </c>
      <c r="O51">
        <v>85.70581</v>
      </c>
      <c r="P51" t="s">
        <v>60</v>
      </c>
    </row>
    <row r="52" spans="1:16" x14ac:dyDescent="0.2">
      <c r="A52" t="str">
        <f>"912810TY4"</f>
        <v>912810TY4</v>
      </c>
      <c r="B52" t="s">
        <v>16</v>
      </c>
      <c r="C52" t="s">
        <v>110</v>
      </c>
      <c r="D52">
        <v>2.125</v>
      </c>
      <c r="E52" s="1">
        <v>56295</v>
      </c>
      <c r="F52" t="s">
        <v>58</v>
      </c>
      <c r="G52" t="s">
        <v>17</v>
      </c>
      <c r="H52">
        <v>90.436000000000007</v>
      </c>
      <c r="I52">
        <v>90.507999999999996</v>
      </c>
      <c r="J52">
        <v>2.6080000000000001</v>
      </c>
      <c r="K52">
        <v>2.6040000000000001</v>
      </c>
      <c r="L52">
        <v>2.6040000000000001</v>
      </c>
      <c r="M52">
        <v>1.0564100000000001</v>
      </c>
      <c r="N52">
        <v>95.537493999999995</v>
      </c>
      <c r="O52">
        <v>95.613556000000003</v>
      </c>
      <c r="P52" t="s">
        <v>60</v>
      </c>
    </row>
    <row r="53" spans="1:16" x14ac:dyDescent="0.2">
      <c r="A53" t="str">
        <f>"912810UH9"</f>
        <v>912810UH9</v>
      </c>
      <c r="B53" t="s">
        <v>16</v>
      </c>
      <c r="C53" t="s">
        <v>111</v>
      </c>
      <c r="D53">
        <v>2.375</v>
      </c>
      <c r="E53" s="1">
        <v>56660</v>
      </c>
      <c r="F53" t="s">
        <v>58</v>
      </c>
      <c r="G53" t="s">
        <v>17</v>
      </c>
      <c r="H53">
        <v>95.534999999999997</v>
      </c>
      <c r="I53">
        <v>95.588999999999999</v>
      </c>
      <c r="J53">
        <v>2.5950000000000002</v>
      </c>
      <c r="K53">
        <v>2.5920000000000001</v>
      </c>
      <c r="L53">
        <v>2.5920000000000001</v>
      </c>
      <c r="M53">
        <v>1.0274700000000001</v>
      </c>
      <c r="N53">
        <v>98.159345999999999</v>
      </c>
      <c r="O53">
        <v>98.214828999999995</v>
      </c>
      <c r="P53" t="s">
        <v>60</v>
      </c>
    </row>
    <row r="55" spans="1:16" x14ac:dyDescent="0.2">
      <c r="A55" t="s">
        <v>18</v>
      </c>
    </row>
    <row r="56" spans="1:16" x14ac:dyDescent="0.2">
      <c r="A56" t="s">
        <v>19</v>
      </c>
    </row>
    <row r="57" spans="1:16" x14ac:dyDescent="0.2">
      <c r="A57" t="s">
        <v>20</v>
      </c>
    </row>
    <row r="58" spans="1:16" x14ac:dyDescent="0.2">
      <c r="A58" t="s">
        <v>21</v>
      </c>
    </row>
    <row r="59" spans="1:16" x14ac:dyDescent="0.2">
      <c r="A59" t="s">
        <v>22</v>
      </c>
    </row>
    <row r="60" spans="1:16" x14ac:dyDescent="0.2">
      <c r="A60" t="s">
        <v>23</v>
      </c>
    </row>
    <row r="61" spans="1:16" x14ac:dyDescent="0.2">
      <c r="A61" t="s">
        <v>24</v>
      </c>
    </row>
    <row r="63" spans="1:16" x14ac:dyDescent="0.2">
      <c r="A63" t="s">
        <v>25</v>
      </c>
    </row>
    <row r="64" spans="1:16" x14ac:dyDescent="0.2">
      <c r="A64" t="s">
        <v>26</v>
      </c>
    </row>
    <row r="65" spans="1:1" x14ac:dyDescent="0.2">
      <c r="A65" t="s">
        <v>27</v>
      </c>
    </row>
    <row r="67" spans="1:1" x14ac:dyDescent="0.2">
      <c r="A67" t="s">
        <v>112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40CF27-D16F-FD42-BB4F-E83D7FF74E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User Input</vt:lpstr>
      <vt:lpstr>Ladder</vt:lpstr>
      <vt:lpstr>Fidelity_FixedIncome_SearchResu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Weinberg</dc:creator>
  <cp:lastModifiedBy>Michael Weinberg</cp:lastModifiedBy>
  <dcterms:created xsi:type="dcterms:W3CDTF">2023-01-14T19:29:55Z</dcterms:created>
  <dcterms:modified xsi:type="dcterms:W3CDTF">2026-03-12T16:05:05Z</dcterms:modified>
</cp:coreProperties>
</file>